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2580F1DC-6C85-409A-84F4-C17F99CC53DC}" xr6:coauthVersionLast="47" xr6:coauthVersionMax="47" xr10:uidLastSave="{00000000-0000-0000-0000-000000000000}"/>
  <bookViews>
    <workbookView xWindow="-108" yWindow="-108" windowWidth="23256" windowHeight="12456" activeTab="1" xr2:uid="{0D0617F4-7830-4A2A-B1AA-F555E52D9BE4}"/>
  </bookViews>
  <sheets>
    <sheet name="Pivot Report " sheetId="1" r:id="rId1"/>
    <sheet name="Dashboard" sheetId="2" r:id="rId2"/>
  </sheets>
  <definedNames>
    <definedName name="Slicer_Date__Month">#N/A</definedName>
    <definedName name="Slicer_Date__Year">#N/A</definedName>
  </definedNames>
  <calcPr calcId="191029"/>
  <pivotCaches>
    <pivotCache cacheId="1195" r:id="rId3"/>
    <pivotCache cacheId="1198" r:id="rId4"/>
    <pivotCache cacheId="1222" r:id="rId5"/>
    <pivotCache cacheId="1225" r:id="rId6"/>
    <pivotCache cacheId="1228" r:id="rId7"/>
    <pivotCache cacheId="1231" r:id="rId8"/>
    <pivotCache cacheId="1234" r:id="rId9"/>
    <pivotCache cacheId="1237" r:id="rId10"/>
    <pivotCache cacheId="1240" r:id="rId11"/>
    <pivotCache cacheId="1243" r:id="rId12"/>
    <pivotCache cacheId="1246" r:id="rId13"/>
  </pivotCaches>
  <extLst>
    <ext xmlns:x14="http://schemas.microsoft.com/office/spreadsheetml/2009/9/main" uri="{876F7934-8845-4945-9796-88D515C7AA90}">
      <x14:pivotCaches>
        <pivotCache cacheId="855"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4b2191a-7aab-43be-b0dd-e9b13efa48a1" name="Hospital Emergency Room Data" connection="Query - Hospital Emergency Room Data"/>
          <x15:modelTable id="Calender_Table_8ce4f018-1330-44ed-8a5a-d6e1c2f52ca2"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7" i="1" l="1"/>
  <c r="E67" i="1"/>
  <c r="D66" i="1"/>
  <c r="E66" i="1"/>
  <c r="F66" i="1"/>
  <c r="D6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6B754C-E324-4B9F-9920-A34069FD8407}" name="Query - Calender_Table" description="Connection to the 'Calender_Table' query in the workbook." type="100" refreshedVersion="8" minRefreshableVersion="5">
    <extLst>
      <ext xmlns:x15="http://schemas.microsoft.com/office/spreadsheetml/2010/11/main" uri="{DE250136-89BD-433C-8126-D09CA5730AF9}">
        <x15:connection id="fd257f2d-c714-44b2-bfe8-19a2bb9555cb"/>
      </ext>
    </extLst>
  </connection>
  <connection id="2" xr16:uid="{55B31F4B-9603-415F-A5DC-2A25F745A44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3c74ce3-f929-4cef-9f97-f2340fada78c"/>
      </ext>
    </extLst>
  </connection>
  <connection id="3" xr16:uid="{A8BC6B60-C9A6-44BA-B8D9-8BF09D315FB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<sst xmlns="http://schemas.openxmlformats.org/spreadsheetml/2006/main" count="121" uniqueCount="70">
  <si>
    <t>Distinct Count of Patient Id</t>
  </si>
  <si>
    <t>Average of Patient Waittime</t>
  </si>
  <si>
    <t>Average of Patient Satisfaction Score</t>
  </si>
  <si>
    <t>No. Of Patient</t>
  </si>
  <si>
    <t>Grand Total</t>
  </si>
  <si>
    <t>Row Labels</t>
  </si>
  <si>
    <t>Avg wait time</t>
  </si>
  <si>
    <t>Admitted</t>
  </si>
  <si>
    <t>Not Admitted</t>
  </si>
  <si>
    <t>Count of Patient Admission Flag</t>
  </si>
  <si>
    <t>Count of Patient Admission Flag2</t>
  </si>
  <si>
    <t>Admission Status</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</si>
  <si>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</si>
  <si>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</si>
  <si>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</si>
  <si>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</si>
  <si>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</si>
  <si>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</si>
  <si>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</si>
  <si>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</si>
  <si>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</si>
  <si>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</si>
  <si>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</si>
  <si>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</si>
  <si>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</si>
  <si>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</si>
  <si>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</si>
  <si>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</si>
  <si>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</si>
  <si>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</si>
  <si>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</si>
  <si>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</si>
  <si>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</si>
  <si>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</si>
  <si>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</si>
  <si>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</si>
  <si>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</si>
  <si>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</si>
  <si>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</si>
  <si>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</si>
  <si>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</si>
  <si>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</si>
  <si>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0-09</t>
  </si>
  <si>
    <t>10-19</t>
  </si>
  <si>
    <t>20-29</t>
  </si>
  <si>
    <t>30-39</t>
  </si>
  <si>
    <t>40-49</t>
  </si>
  <si>
    <t>50-59</t>
  </si>
  <si>
    <t>60-69</t>
  </si>
  <si>
    <t>70-79</t>
  </si>
  <si>
    <t>Count of Age Group</t>
  </si>
  <si>
    <t>Age group</t>
  </si>
  <si>
    <t>Delay</t>
  </si>
  <si>
    <t>On Time</t>
  </si>
  <si>
    <t>Count of Patient Attend Status</t>
  </si>
  <si>
    <t>number of patient by gender</t>
  </si>
  <si>
    <t>F</t>
  </si>
  <si>
    <t>M</t>
  </si>
  <si>
    <t>Count of Patient Gender</t>
  </si>
  <si>
    <t>Department referral</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</si>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</sst>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3" tint="0.74999237037263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NumberFormat="1"/>
    <xf numFmtId="10" fontId="0" fillId="0" borderId="0" xfId="0" applyNumberFormat="1"/>
    <xf numFmtId="0" fontId="2" fillId="3" borderId="0" xfId="0" applyFont="1" applyFill="1" applyAlignment="1">
      <alignment horizontal="center"/>
    </xf>
    <xf numFmtId="0" fontId="0" fillId="4" borderId="0" xfId="0" applyFill="1"/>
    <xf numFmtId="9" fontId="0" fillId="4" borderId="0" xfId="1" applyFont="1" applyFill="1"/>
    <xf numFmtId="1" fontId="0" fillId="0" borderId="0" xfId="0" applyNumberFormat="1"/>
  </cellXfs>
  <cellStyles count="2">
    <cellStyle name="Normal" xfId="0" builtinId="0"/>
    <cellStyle name="Percent" xfId="1" builtinId="5"/>
  </cellStyles>
  <dxfs count="165">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166" formatCode="0.00000000"/>
    </dxf>
    <dxf>
      <numFmt numFmtId="2" formatCode="0.00"/>
    </dxf>
    <dxf>
      <numFmt numFmtId="2" formatCode="0.00"/>
    </dxf>
    <dxf>
      <numFmt numFmtId="2" formatCode="0.00"/>
    </dxf>
    <dxf>
      <font>
        <b/>
        <color theme="1"/>
      </font>
      <border>
        <bottom style="thin">
          <color theme="4"/>
        </bottom>
        <vertical/>
        <horizontal/>
      </border>
    </dxf>
    <dxf>
      <font>
        <sz val="9"/>
        <color theme="1"/>
      </font>
      <fill>
        <patternFill>
          <bgColor theme="2"/>
        </patternFill>
      </fill>
      <border diagonalUp="0" diagonalDown="0">
        <left/>
        <right/>
        <top/>
        <bottom/>
        <vertical/>
        <horizontal/>
      </border>
    </dxf>
  </dxfs>
  <tableStyles count="1" defaultTableStyle="TableStyleMedium2" defaultPivotStyle="PivotStyleLight16">
    <tableStyle name="My style " pivot="0" table="0" count="10" xr9:uid="{B503C129-C432-4F50-BC0A-055A58CAD994}">
      <tableStyleElement type="wholeTable" dxfId="164"/>
      <tableStyleElement type="headerRow" dxfId="16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1.xlsx]Pivot Report !PivotTable6</c:name>
    <c:fmtId val="0"/>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76000"/>
            </a:schemeClr>
          </a:solidFill>
          <a:ln>
            <a:noFill/>
          </a:ln>
          <a:effectLst/>
        </c:spPr>
      </c:pivotFmt>
      <c:pivotFmt>
        <c:idx val="3"/>
        <c:spPr>
          <a:solidFill>
            <a:schemeClr val="accent4">
              <a:shade val="76000"/>
            </a:schemeClr>
          </a:solidFill>
          <a:ln>
            <a:noFill/>
          </a:ln>
          <a:effectLst/>
        </c:spPr>
      </c:pivotFmt>
    </c:pivotFmts>
    <c:plotArea>
      <c:layout>
        <c:manualLayout>
          <c:layoutTarget val="inner"/>
          <c:xMode val="edge"/>
          <c:yMode val="edge"/>
          <c:x val="4.0790648591606708E-4"/>
          <c:y val="0.18638978721409824"/>
          <c:w val="0.98306410152339208"/>
          <c:h val="0.76603389692567503"/>
        </c:manualLayout>
      </c:layout>
      <c:barChart>
        <c:barDir val="bar"/>
        <c:grouping val="clustered"/>
        <c:varyColors val="0"/>
        <c:ser>
          <c:idx val="0"/>
          <c:order val="0"/>
          <c:tx>
            <c:strRef>
              <c:f>'Pivot Report '!$E$43</c:f>
              <c:strCache>
                <c:ptCount val="1"/>
                <c:pt idx="0">
                  <c:v>Count of Patient Admission Flag</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'!$D$44:$D$46</c:f>
              <c:strCache>
                <c:ptCount val="2"/>
                <c:pt idx="0">
                  <c:v>Admitted</c:v>
                </c:pt>
                <c:pt idx="1">
                  <c:v>Not Admitted</c:v>
                </c:pt>
              </c:strCache>
            </c:strRef>
          </c:cat>
          <c:val>
            <c:numRef>
              <c:f>'Pivot Report '!$E$44:$E$46</c:f>
              <c:numCache>
                <c:formatCode>0.00</c:formatCode>
                <c:ptCount val="2"/>
                <c:pt idx="0">
                  <c:v>217</c:v>
                </c:pt>
                <c:pt idx="1">
                  <c:v>252</c:v>
                </c:pt>
              </c:numCache>
            </c:numRef>
          </c:val>
          <c:extLst>
            <c:ext xmlns:c16="http://schemas.microsoft.com/office/drawing/2014/chart" uri="{C3380CC4-5D6E-409C-BE32-E72D297353CC}">
              <c16:uniqueId val="{00000005-D9D4-4D2B-AB57-B14D3E136BC1}"/>
            </c:ext>
          </c:extLst>
        </c:ser>
        <c:ser>
          <c:idx val="1"/>
          <c:order val="1"/>
          <c:tx>
            <c:strRef>
              <c:f>'Pivot Report '!$F$43</c:f>
              <c:strCache>
                <c:ptCount val="1"/>
                <c:pt idx="0">
                  <c:v>Count of Patient Admission Flag2</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'!$D$44:$D$46</c:f>
              <c:strCache>
                <c:ptCount val="2"/>
                <c:pt idx="0">
                  <c:v>Admitted</c:v>
                </c:pt>
                <c:pt idx="1">
                  <c:v>Not Admitted</c:v>
                </c:pt>
              </c:strCache>
            </c:strRef>
          </c:cat>
          <c:val>
            <c:numRef>
              <c:f>'Pivot Report '!$F$44:$F$46</c:f>
              <c:numCache>
                <c:formatCode>0.00%</c:formatCode>
                <c:ptCount val="2"/>
                <c:pt idx="0">
                  <c:v>0.46268656716417911</c:v>
                </c:pt>
                <c:pt idx="1">
                  <c:v>0.53731343283582089</c:v>
                </c:pt>
              </c:numCache>
            </c:numRef>
          </c:val>
          <c:extLst>
            <c:ext xmlns:c16="http://schemas.microsoft.com/office/drawing/2014/chart" uri="{C3380CC4-5D6E-409C-BE32-E72D297353CC}">
              <c16:uniqueId val="{00000006-D9D4-4D2B-AB57-B14D3E136BC1}"/>
            </c:ext>
          </c:extLst>
        </c:ser>
        <c:dLbls>
          <c:dLblPos val="outEnd"/>
          <c:showLegendKey val="0"/>
          <c:showVal val="1"/>
          <c:showCatName val="0"/>
          <c:showSerName val="0"/>
          <c:showPercent val="0"/>
          <c:showBubbleSize val="0"/>
        </c:dLbls>
        <c:gapWidth val="0"/>
        <c:axId val="1955500320"/>
        <c:axId val="16801391"/>
      </c:barChart>
      <c:catAx>
        <c:axId val="1955500320"/>
        <c:scaling>
          <c:orientation val="minMax"/>
        </c:scaling>
        <c:delete val="1"/>
        <c:axPos val="l"/>
        <c:numFmt formatCode="General" sourceLinked="1"/>
        <c:majorTickMark val="out"/>
        <c:minorTickMark val="none"/>
        <c:tickLblPos val="nextTo"/>
        <c:crossAx val="16801391"/>
        <c:crosses val="autoZero"/>
        <c:auto val="1"/>
        <c:lblAlgn val="ctr"/>
        <c:lblOffset val="100"/>
        <c:noMultiLvlLbl val="0"/>
      </c:catAx>
      <c:valAx>
        <c:axId val="16801391"/>
        <c:scaling>
          <c:orientation val="minMax"/>
        </c:scaling>
        <c:delete val="1"/>
        <c:axPos val="b"/>
        <c:numFmt formatCode="0.00" sourceLinked="1"/>
        <c:majorTickMark val="out"/>
        <c:minorTickMark val="none"/>
        <c:tickLblPos val="nextTo"/>
        <c:crossAx val="1955500320"/>
        <c:crosses val="autoZero"/>
        <c:crossBetween val="between"/>
      </c:valAx>
      <c:spPr>
        <a:noFill/>
        <a:ln w="12700">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1.xlsx]Pivot Report !PivotTable4</c:name>
    <c:fmtId val="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3333333333333329E-2"/>
          <c:w val="0.93710691823899372"/>
          <c:h val="0.91666666666666663"/>
        </c:manualLayout>
      </c:layout>
      <c:areaChart>
        <c:grouping val="standard"/>
        <c:varyColors val="0"/>
        <c:ser>
          <c:idx val="0"/>
          <c:order val="0"/>
          <c:tx>
            <c:strRef>
              <c:f>'Pivot Report '!$F$4</c:f>
              <c:strCache>
                <c:ptCount val="1"/>
                <c:pt idx="0">
                  <c:v>Total</c:v>
                </c:pt>
              </c:strCache>
            </c:strRef>
          </c:tx>
          <c:spPr>
            <a:solidFill>
              <a:schemeClr val="accent4"/>
            </a:solidFill>
            <a:ln w="25400">
              <a:noFill/>
            </a:ln>
            <a:effectLst/>
          </c:spPr>
          <c:cat>
            <c:strRef>
              <c:f>'Pivot Report '!$E$5:$E$35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 '!$F$5:$F$35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1-E31D-4616-9A45-D618BCFF2CA8}"/>
            </c:ext>
          </c:extLst>
        </c:ser>
        <c:dLbls>
          <c:showLegendKey val="0"/>
          <c:showVal val="0"/>
          <c:showCatName val="0"/>
          <c:showSerName val="0"/>
          <c:showPercent val="0"/>
          <c:showBubbleSize val="0"/>
        </c:dLbls>
        <c:axId val="722611328"/>
        <c:axId val="1853005648"/>
      </c:areaChart>
      <c:catAx>
        <c:axId val="722611328"/>
        <c:scaling>
          <c:orientation val="minMax"/>
        </c:scaling>
        <c:delete val="1"/>
        <c:axPos val="b"/>
        <c:numFmt formatCode="General" sourceLinked="1"/>
        <c:majorTickMark val="out"/>
        <c:minorTickMark val="none"/>
        <c:tickLblPos val="nextTo"/>
        <c:crossAx val="1853005648"/>
        <c:crosses val="autoZero"/>
        <c:auto val="1"/>
        <c:lblAlgn val="ctr"/>
        <c:lblOffset val="100"/>
        <c:noMultiLvlLbl val="0"/>
      </c:catAx>
      <c:valAx>
        <c:axId val="1853005648"/>
        <c:scaling>
          <c:orientation val="minMax"/>
        </c:scaling>
        <c:delete val="1"/>
        <c:axPos val="l"/>
        <c:numFmt formatCode="General" sourceLinked="1"/>
        <c:majorTickMark val="out"/>
        <c:minorTickMark val="none"/>
        <c:tickLblPos val="nextTo"/>
        <c:crossAx val="7226113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1.xlsx]Pivot Report !PivotTable5</c:name>
    <c:fmtId val="64"/>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299636312277104E-2"/>
          <c:y val="7.9968305848561377E-2"/>
          <c:w val="0.90074365704286963"/>
          <c:h val="0.90740740740740744"/>
        </c:manualLayout>
      </c:layout>
      <c:areaChart>
        <c:grouping val="standard"/>
        <c:varyColors val="0"/>
        <c:ser>
          <c:idx val="0"/>
          <c:order val="0"/>
          <c:tx>
            <c:strRef>
              <c:f>'Pivot Report '!$B$21</c:f>
              <c:strCache>
                <c:ptCount val="1"/>
                <c:pt idx="0">
                  <c:v>Total</c:v>
                </c:pt>
              </c:strCache>
            </c:strRef>
          </c:tx>
          <c:spPr>
            <a:solidFill>
              <a:schemeClr val="accent4"/>
            </a:solidFill>
            <a:ln w="25400">
              <a:noFill/>
            </a:ln>
            <a:effectLst/>
          </c:spPr>
          <c:cat>
            <c:strRef>
              <c:f>'Pivot Report '!$A$22:$A$52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 '!$B$22:$B$52</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1-DF21-4EA9-8C4C-B3F58B9F2BFA}"/>
            </c:ext>
          </c:extLst>
        </c:ser>
        <c:dLbls>
          <c:showLegendKey val="0"/>
          <c:showVal val="0"/>
          <c:showCatName val="0"/>
          <c:showSerName val="0"/>
          <c:showPercent val="0"/>
          <c:showBubbleSize val="0"/>
        </c:dLbls>
        <c:axId val="124638447"/>
        <c:axId val="16817711"/>
      </c:areaChart>
      <c:catAx>
        <c:axId val="124638447"/>
        <c:scaling>
          <c:orientation val="minMax"/>
        </c:scaling>
        <c:delete val="1"/>
        <c:axPos val="b"/>
        <c:numFmt formatCode="General" sourceLinked="1"/>
        <c:majorTickMark val="out"/>
        <c:minorTickMark val="none"/>
        <c:tickLblPos val="nextTo"/>
        <c:crossAx val="16817711"/>
        <c:crosses val="autoZero"/>
        <c:auto val="1"/>
        <c:lblAlgn val="ctr"/>
        <c:lblOffset val="100"/>
        <c:noMultiLvlLbl val="0"/>
      </c:catAx>
      <c:valAx>
        <c:axId val="16817711"/>
        <c:scaling>
          <c:orientation val="minMax"/>
        </c:scaling>
        <c:delete val="1"/>
        <c:axPos val="l"/>
        <c:numFmt formatCode="0.00" sourceLinked="1"/>
        <c:majorTickMark val="none"/>
        <c:minorTickMark val="none"/>
        <c:tickLblPos val="nextTo"/>
        <c:crossAx val="1246384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Report !PivotTable7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35632183908046E-2"/>
          <c:y val="1.1261261261261261E-2"/>
          <c:w val="0.94252873563218387"/>
          <c:h val="0.78470419238135769"/>
        </c:manualLayout>
      </c:layout>
      <c:barChart>
        <c:barDir val="col"/>
        <c:grouping val="clustered"/>
        <c:varyColors val="0"/>
        <c:ser>
          <c:idx val="0"/>
          <c:order val="0"/>
          <c:tx>
            <c:strRef>
              <c:f>'Pivot Report '!$B$73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'!$A$74:$A$82</c:f>
              <c:strCache>
                <c:ptCount val="8"/>
                <c:pt idx="0">
                  <c:v>0-09</c:v>
                </c:pt>
                <c:pt idx="1">
                  <c:v>10-19</c:v>
                </c:pt>
                <c:pt idx="2">
                  <c:v>20-29</c:v>
                </c:pt>
                <c:pt idx="3">
                  <c:v>30-39</c:v>
                </c:pt>
                <c:pt idx="4">
                  <c:v>40-49</c:v>
                </c:pt>
                <c:pt idx="5">
                  <c:v>50-59</c:v>
                </c:pt>
                <c:pt idx="6">
                  <c:v>60-69</c:v>
                </c:pt>
                <c:pt idx="7">
                  <c:v>70-79</c:v>
                </c:pt>
              </c:strCache>
            </c:strRef>
          </c:cat>
          <c:val>
            <c:numRef>
              <c:f>'Pivot Report '!$B$74:$B$82</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1-8306-4DA9-B453-247C9365F285}"/>
            </c:ext>
          </c:extLst>
        </c:ser>
        <c:dLbls>
          <c:showLegendKey val="0"/>
          <c:showVal val="0"/>
          <c:showCatName val="0"/>
          <c:showSerName val="0"/>
          <c:showPercent val="0"/>
          <c:showBubbleSize val="0"/>
        </c:dLbls>
        <c:gapWidth val="150"/>
        <c:axId val="1955390352"/>
        <c:axId val="16817711"/>
      </c:barChart>
      <c:catAx>
        <c:axId val="195539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711"/>
        <c:crosses val="autoZero"/>
        <c:auto val="1"/>
        <c:lblAlgn val="ctr"/>
        <c:lblOffset val="100"/>
        <c:noMultiLvlLbl val="0"/>
      </c:catAx>
      <c:valAx>
        <c:axId val="1681771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5539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Report !PivotTable8</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40088087010706386"/>
          <c:y val="0.14686048859277206"/>
          <c:w val="0.31254712765220899"/>
          <c:h val="0.66837001144087771"/>
        </c:manualLayout>
      </c:layout>
      <c:pieChart>
        <c:varyColors val="1"/>
        <c:ser>
          <c:idx val="0"/>
          <c:order val="0"/>
          <c:tx>
            <c:strRef>
              <c:f>'Pivot Report '!$B$87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 '!$A$88:$A$90</c:f>
              <c:strCache>
                <c:ptCount val="2"/>
                <c:pt idx="0">
                  <c:v>Delay</c:v>
                </c:pt>
                <c:pt idx="1">
                  <c:v>On Time</c:v>
                </c:pt>
              </c:strCache>
            </c:strRef>
          </c:cat>
          <c:val>
            <c:numRef>
              <c:f>'Pivot Report '!$B$88:$B$90</c:f>
              <c:numCache>
                <c:formatCode>0</c:formatCode>
                <c:ptCount val="2"/>
                <c:pt idx="0">
                  <c:v>268</c:v>
                </c:pt>
                <c:pt idx="1">
                  <c:v>201</c:v>
                </c:pt>
              </c:numCache>
            </c:numRef>
          </c:val>
          <c:extLst>
            <c:ext xmlns:c16="http://schemas.microsoft.com/office/drawing/2014/chart" uri="{C3380CC4-5D6E-409C-BE32-E72D297353CC}">
              <c16:uniqueId val="{00000005-FD77-4281-B163-4FA65F7AD9A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3109512390087929"/>
          <c:y val="8.4083720304192755E-3"/>
          <c:w val="0.45723421262989616"/>
          <c:h val="0.173674991269868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Report !PivotTable9</c:name>
    <c:fmtId val="1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7175410302627834"/>
          <c:y val="0.1162339707536558"/>
          <c:w val="0.36891209879756764"/>
          <c:h val="0.75658243990687601"/>
        </c:manualLayout>
      </c:layout>
      <c:doughnutChart>
        <c:varyColors val="1"/>
        <c:ser>
          <c:idx val="0"/>
          <c:order val="0"/>
          <c:tx>
            <c:strRef>
              <c:f>'Pivot Report '!$B$95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 '!$A$96:$A$98</c:f>
              <c:strCache>
                <c:ptCount val="2"/>
                <c:pt idx="0">
                  <c:v>F</c:v>
                </c:pt>
                <c:pt idx="1">
                  <c:v>M</c:v>
                </c:pt>
              </c:strCache>
            </c:strRef>
          </c:cat>
          <c:val>
            <c:numRef>
              <c:f>'Pivot Report '!$B$96:$B$98</c:f>
              <c:numCache>
                <c:formatCode>0</c:formatCode>
                <c:ptCount val="2"/>
                <c:pt idx="0">
                  <c:v>241</c:v>
                </c:pt>
                <c:pt idx="1">
                  <c:v>228</c:v>
                </c:pt>
              </c:numCache>
            </c:numRef>
          </c:val>
          <c:extLst>
            <c:ext xmlns:c16="http://schemas.microsoft.com/office/drawing/2014/chart" uri="{C3380CC4-5D6E-409C-BE32-E72D297353CC}">
              <c16:uniqueId val="{00000005-E745-4D4A-8E89-A8E64AC080F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9290674509059861"/>
          <c:y val="2.8173978252718397E-3"/>
          <c:w val="0.36924643455712614"/>
          <c:h val="9.315560554930633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Report !PivotTable10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22875160946862774"/>
          <c:y val="7.6708507670850773E-2"/>
          <c:w val="0.76401568612885651"/>
          <c:h val="0.77602323768106396"/>
        </c:manualLayout>
      </c:layout>
      <c:barChart>
        <c:barDir val="bar"/>
        <c:grouping val="clustered"/>
        <c:varyColors val="0"/>
        <c:ser>
          <c:idx val="0"/>
          <c:order val="0"/>
          <c:tx>
            <c:strRef>
              <c:f>'Pivot Report '!$B$103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'!$A$104:$A$112</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 '!$B$104:$B$112</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2-E2B0-40E0-B918-ADDCFE5DA434}"/>
            </c:ext>
          </c:extLst>
        </c:ser>
        <c:dLbls>
          <c:dLblPos val="outEnd"/>
          <c:showLegendKey val="0"/>
          <c:showVal val="1"/>
          <c:showCatName val="0"/>
          <c:showSerName val="0"/>
          <c:showPercent val="0"/>
          <c:showBubbleSize val="0"/>
        </c:dLbls>
        <c:gapWidth val="32"/>
        <c:axId val="1955401024"/>
        <c:axId val="1178976656"/>
      </c:barChart>
      <c:catAx>
        <c:axId val="195540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178976656"/>
        <c:crosses val="autoZero"/>
        <c:auto val="1"/>
        <c:lblAlgn val="ctr"/>
        <c:lblOffset val="100"/>
        <c:noMultiLvlLbl val="0"/>
      </c:catAx>
      <c:valAx>
        <c:axId val="117897665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5540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image" Target="../media/image8.emf"/><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8</xdr:col>
      <xdr:colOff>7620</xdr:colOff>
      <xdr:row>3</xdr:row>
      <xdr:rowOff>137160</xdr:rowOff>
    </xdr:from>
    <xdr:to>
      <xdr:col>14</xdr:col>
      <xdr:colOff>83820</xdr:colOff>
      <xdr:row>17</xdr:row>
      <xdr:rowOff>158115</xdr:rowOff>
    </xdr:to>
    <mc:AlternateContent xmlns:mc="http://schemas.openxmlformats.org/markup-compatibility/2006" xmlns:a14="http://schemas.microsoft.com/office/drawing/2010/main">
      <mc:Choice Requires="a14">
        <xdr:graphicFrame macro="">
          <xdr:nvGraphicFramePr>
            <xdr:cNvPr id="4" name="Date (Month)">
              <a:extLst>
                <a:ext uri="{FF2B5EF4-FFF2-40B4-BE49-F238E27FC236}">
                  <a16:creationId xmlns:a16="http://schemas.microsoft.com/office/drawing/2014/main" id="{DEA9C466-DDD5-2B49-4451-95BBEE0D69B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033260" y="685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1363980</xdr:colOff>
      <xdr:row>50</xdr:row>
      <xdr:rowOff>167640</xdr:rowOff>
    </xdr:from>
    <xdr:to>
      <xdr:col>5</xdr:col>
      <xdr:colOff>1188720</xdr:colOff>
      <xdr:row>54</xdr:row>
      <xdr:rowOff>121920</xdr:rowOff>
    </xdr:to>
    <xdr:graphicFrame macro="">
      <xdr:nvGraphicFramePr>
        <xdr:cNvPr id="5" name="Chart 4">
          <a:extLst>
            <a:ext uri="{FF2B5EF4-FFF2-40B4-BE49-F238E27FC236}">
              <a16:creationId xmlns:a16="http://schemas.microsoft.com/office/drawing/2014/main" id="{E848D736-DD01-202B-6A9B-7845DE821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381000</xdr:colOff>
      <xdr:row>108</xdr:row>
      <xdr:rowOff>7620</xdr:rowOff>
    </xdr:from>
    <xdr:to>
      <xdr:col>5</xdr:col>
      <xdr:colOff>327660</xdr:colOff>
      <xdr:row>122</xdr:row>
      <xdr:rowOff>28575</xdr:rowOff>
    </xdr:to>
    <mc:AlternateContent xmlns:mc="http://schemas.openxmlformats.org/markup-compatibility/2006">
      <mc:Choice xmlns:a14="http://schemas.microsoft.com/office/drawing/2010/main" Requires="a14">
        <xdr:graphicFrame macro="">
          <xdr:nvGraphicFramePr>
            <xdr:cNvPr id="15" name="Date (Year)">
              <a:extLst>
                <a:ext uri="{FF2B5EF4-FFF2-40B4-BE49-F238E27FC236}">
                  <a16:creationId xmlns:a16="http://schemas.microsoft.com/office/drawing/2014/main" id="{BF1DFF0C-9261-9BEE-8650-EBEF5F0C936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122420" y="19758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68580</xdr:rowOff>
    </xdr:from>
    <xdr:to>
      <xdr:col>6</xdr:col>
      <xdr:colOff>327660</xdr:colOff>
      <xdr:row>3</xdr:row>
      <xdr:rowOff>106680</xdr:rowOff>
    </xdr:to>
    <xdr:sp macro="" textlink="">
      <xdr:nvSpPr>
        <xdr:cNvPr id="2" name="Rectangle: Rounded Corners 1">
          <a:extLst>
            <a:ext uri="{FF2B5EF4-FFF2-40B4-BE49-F238E27FC236}">
              <a16:creationId xmlns:a16="http://schemas.microsoft.com/office/drawing/2014/main" id="{D7DA6F10-2CAC-A1F8-309C-7276E2048886}"/>
            </a:ext>
          </a:extLst>
        </xdr:cNvPr>
        <xdr:cNvSpPr/>
      </xdr:nvSpPr>
      <xdr:spPr>
        <a:xfrm>
          <a:off x="38100" y="68580"/>
          <a:ext cx="3947160" cy="586740"/>
        </a:xfrm>
        <a:prstGeom prst="roundRect">
          <a:avLst>
            <a:gd name="adj" fmla="val 2250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403860</xdr:colOff>
      <xdr:row>0</xdr:row>
      <xdr:rowOff>68580</xdr:rowOff>
    </xdr:from>
    <xdr:to>
      <xdr:col>9</xdr:col>
      <xdr:colOff>121920</xdr:colOff>
      <xdr:row>3</xdr:row>
      <xdr:rowOff>106680</xdr:rowOff>
    </xdr:to>
    <xdr:sp macro="" textlink="">
      <xdr:nvSpPr>
        <xdr:cNvPr id="3" name="Rectangle: Rounded Corners 2">
          <a:extLst>
            <a:ext uri="{FF2B5EF4-FFF2-40B4-BE49-F238E27FC236}">
              <a16:creationId xmlns:a16="http://schemas.microsoft.com/office/drawing/2014/main" id="{86CB8B71-86E0-95C0-CCB6-24BB2C29C28D}"/>
            </a:ext>
          </a:extLst>
        </xdr:cNvPr>
        <xdr:cNvSpPr/>
      </xdr:nvSpPr>
      <xdr:spPr>
        <a:xfrm>
          <a:off x="4061460" y="68580"/>
          <a:ext cx="1546860" cy="586740"/>
        </a:xfrm>
        <a:prstGeom prst="roundRect">
          <a:avLst>
            <a:gd name="adj" fmla="val 2250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213360</xdr:colOff>
      <xdr:row>0</xdr:row>
      <xdr:rowOff>68580</xdr:rowOff>
    </xdr:from>
    <xdr:to>
      <xdr:col>11</xdr:col>
      <xdr:colOff>541020</xdr:colOff>
      <xdr:row>9</xdr:row>
      <xdr:rowOff>53340</xdr:rowOff>
    </xdr:to>
    <xdr:sp macro="" textlink="">
      <xdr:nvSpPr>
        <xdr:cNvPr id="4" name="Rectangle: Rounded Corners 3">
          <a:extLst>
            <a:ext uri="{FF2B5EF4-FFF2-40B4-BE49-F238E27FC236}">
              <a16:creationId xmlns:a16="http://schemas.microsoft.com/office/drawing/2014/main" id="{27832228-3FAB-9C3C-AE28-D6E0371A9A73}"/>
            </a:ext>
          </a:extLst>
        </xdr:cNvPr>
        <xdr:cNvSpPr/>
      </xdr:nvSpPr>
      <xdr:spPr>
        <a:xfrm>
          <a:off x="5699760" y="68580"/>
          <a:ext cx="1546860" cy="1630680"/>
        </a:xfrm>
        <a:prstGeom prst="roundRect">
          <a:avLst>
            <a:gd name="adj" fmla="val 10678"/>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129540</xdr:colOff>
      <xdr:row>0</xdr:row>
      <xdr:rowOff>60960</xdr:rowOff>
    </xdr:from>
    <xdr:to>
      <xdr:col>14</xdr:col>
      <xdr:colOff>457200</xdr:colOff>
      <xdr:row>9</xdr:row>
      <xdr:rowOff>45720</xdr:rowOff>
    </xdr:to>
    <xdr:sp macro="" textlink="">
      <xdr:nvSpPr>
        <xdr:cNvPr id="5" name="Rectangle: Rounded Corners 4">
          <a:extLst>
            <a:ext uri="{FF2B5EF4-FFF2-40B4-BE49-F238E27FC236}">
              <a16:creationId xmlns:a16="http://schemas.microsoft.com/office/drawing/2014/main" id="{8F6E9A70-A8D8-C29D-4B55-CB969C800B01}"/>
            </a:ext>
          </a:extLst>
        </xdr:cNvPr>
        <xdr:cNvSpPr/>
      </xdr:nvSpPr>
      <xdr:spPr>
        <a:xfrm>
          <a:off x="7444740" y="60960"/>
          <a:ext cx="1546860" cy="1630680"/>
        </a:xfrm>
        <a:prstGeom prst="roundRect">
          <a:avLst>
            <a:gd name="adj" fmla="val 969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160020</xdr:rowOff>
    </xdr:from>
    <xdr:to>
      <xdr:col>1</xdr:col>
      <xdr:colOff>152400</xdr:colOff>
      <xdr:row>19</xdr:row>
      <xdr:rowOff>152400</xdr:rowOff>
    </xdr:to>
    <xdr:sp macro="" textlink="">
      <xdr:nvSpPr>
        <xdr:cNvPr id="6" name="Rectangle: Rounded Corners 5">
          <a:extLst>
            <a:ext uri="{FF2B5EF4-FFF2-40B4-BE49-F238E27FC236}">
              <a16:creationId xmlns:a16="http://schemas.microsoft.com/office/drawing/2014/main" id="{F4507232-D692-FCB6-222A-7725F9275481}"/>
            </a:ext>
          </a:extLst>
        </xdr:cNvPr>
        <xdr:cNvSpPr/>
      </xdr:nvSpPr>
      <xdr:spPr>
        <a:xfrm>
          <a:off x="0" y="708660"/>
          <a:ext cx="762000" cy="2918460"/>
        </a:xfrm>
        <a:prstGeom prst="roundRect">
          <a:avLst>
            <a:gd name="adj" fmla="val 4319"/>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182880</xdr:colOff>
      <xdr:row>4</xdr:row>
      <xdr:rowOff>0</xdr:rowOff>
    </xdr:from>
    <xdr:to>
      <xdr:col>9</xdr:col>
      <xdr:colOff>99060</xdr:colOff>
      <xdr:row>8</xdr:row>
      <xdr:rowOff>152400</xdr:rowOff>
    </xdr:to>
    <xdr:grpSp>
      <xdr:nvGrpSpPr>
        <xdr:cNvPr id="11" name="Group 10">
          <a:extLst>
            <a:ext uri="{FF2B5EF4-FFF2-40B4-BE49-F238E27FC236}">
              <a16:creationId xmlns:a16="http://schemas.microsoft.com/office/drawing/2014/main" id="{2ADB4A1A-5918-5B41-2567-201FF240F9CA}"/>
            </a:ext>
          </a:extLst>
        </xdr:cNvPr>
        <xdr:cNvGrpSpPr/>
      </xdr:nvGrpSpPr>
      <xdr:grpSpPr>
        <a:xfrm>
          <a:off x="789783" y="728283"/>
          <a:ext cx="4771401" cy="880683"/>
          <a:chOff x="845820" y="762000"/>
          <a:chExt cx="4259580" cy="883920"/>
        </a:xfrm>
      </xdr:grpSpPr>
      <xdr:sp macro="" textlink="">
        <xdr:nvSpPr>
          <xdr:cNvPr id="8" name="Rectangle: Rounded Corners 7">
            <a:extLst>
              <a:ext uri="{FF2B5EF4-FFF2-40B4-BE49-F238E27FC236}">
                <a16:creationId xmlns:a16="http://schemas.microsoft.com/office/drawing/2014/main" id="{67863A9E-E90E-C97C-03BE-E927DA44B5E9}"/>
              </a:ext>
            </a:extLst>
          </xdr:cNvPr>
          <xdr:cNvSpPr/>
        </xdr:nvSpPr>
        <xdr:spPr>
          <a:xfrm>
            <a:off x="845820" y="762000"/>
            <a:ext cx="1381485" cy="883920"/>
          </a:xfrm>
          <a:prstGeom prst="roundRect">
            <a:avLst>
              <a:gd name="adj" fmla="val 957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BA6E0D87-7E98-B6B7-DFCA-8FFCAB893695}"/>
              </a:ext>
            </a:extLst>
          </xdr:cNvPr>
          <xdr:cNvSpPr/>
        </xdr:nvSpPr>
        <xdr:spPr>
          <a:xfrm>
            <a:off x="2278380" y="762000"/>
            <a:ext cx="1425219" cy="883920"/>
          </a:xfrm>
          <a:prstGeom prst="roundRect">
            <a:avLst>
              <a:gd name="adj" fmla="val 957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79A87D4E-D502-3404-DA11-F7C2E4965365}"/>
              </a:ext>
            </a:extLst>
          </xdr:cNvPr>
          <xdr:cNvSpPr/>
        </xdr:nvSpPr>
        <xdr:spPr>
          <a:xfrm>
            <a:off x="3744231" y="762000"/>
            <a:ext cx="1361169" cy="883920"/>
          </a:xfrm>
          <a:prstGeom prst="roundRect">
            <a:avLst>
              <a:gd name="adj" fmla="val 957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182880</xdr:colOff>
      <xdr:row>13</xdr:row>
      <xdr:rowOff>7620</xdr:rowOff>
    </xdr:from>
    <xdr:to>
      <xdr:col>9</xdr:col>
      <xdr:colOff>76200</xdr:colOff>
      <xdr:row>19</xdr:row>
      <xdr:rowOff>152400</xdr:rowOff>
    </xdr:to>
    <xdr:sp macro="" textlink="">
      <xdr:nvSpPr>
        <xdr:cNvPr id="18" name="Rectangle: Rounded Corners 17">
          <a:extLst>
            <a:ext uri="{FF2B5EF4-FFF2-40B4-BE49-F238E27FC236}">
              <a16:creationId xmlns:a16="http://schemas.microsoft.com/office/drawing/2014/main" id="{E0E1D0AD-E045-B47E-42BD-1FC6531370FC}"/>
            </a:ext>
          </a:extLst>
        </xdr:cNvPr>
        <xdr:cNvSpPr/>
      </xdr:nvSpPr>
      <xdr:spPr>
        <a:xfrm>
          <a:off x="792480" y="2385060"/>
          <a:ext cx="4770120" cy="1242060"/>
        </a:xfrm>
        <a:prstGeom prst="roundRect">
          <a:avLst>
            <a:gd name="adj" fmla="val 646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190500</xdr:colOff>
      <xdr:row>9</xdr:row>
      <xdr:rowOff>83820</xdr:rowOff>
    </xdr:from>
    <xdr:to>
      <xdr:col>9</xdr:col>
      <xdr:colOff>83820</xdr:colOff>
      <xdr:row>12</xdr:row>
      <xdr:rowOff>106680</xdr:rowOff>
    </xdr:to>
    <xdr:sp macro="" textlink="">
      <xdr:nvSpPr>
        <xdr:cNvPr id="19" name="Rectangle: Rounded Corners 18">
          <a:extLst>
            <a:ext uri="{FF2B5EF4-FFF2-40B4-BE49-F238E27FC236}">
              <a16:creationId xmlns:a16="http://schemas.microsoft.com/office/drawing/2014/main" id="{70701F12-A754-9515-9DC9-654A0B6B3E3F}"/>
            </a:ext>
          </a:extLst>
        </xdr:cNvPr>
        <xdr:cNvSpPr/>
      </xdr:nvSpPr>
      <xdr:spPr>
        <a:xfrm>
          <a:off x="800100" y="1729740"/>
          <a:ext cx="4770120" cy="571500"/>
        </a:xfrm>
        <a:prstGeom prst="roundRect">
          <a:avLst>
            <a:gd name="adj" fmla="val 646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205740</xdr:colOff>
      <xdr:row>9</xdr:row>
      <xdr:rowOff>129540</xdr:rowOff>
    </xdr:from>
    <xdr:to>
      <xdr:col>14</xdr:col>
      <xdr:colOff>457200</xdr:colOff>
      <xdr:row>19</xdr:row>
      <xdr:rowOff>152400</xdr:rowOff>
    </xdr:to>
    <xdr:sp macro="" textlink="">
      <xdr:nvSpPr>
        <xdr:cNvPr id="20" name="Rectangle: Rounded Corners 19">
          <a:extLst>
            <a:ext uri="{FF2B5EF4-FFF2-40B4-BE49-F238E27FC236}">
              <a16:creationId xmlns:a16="http://schemas.microsoft.com/office/drawing/2014/main" id="{0CCEB256-1FA1-76AF-638E-6258043C7E1E}"/>
            </a:ext>
          </a:extLst>
        </xdr:cNvPr>
        <xdr:cNvSpPr/>
      </xdr:nvSpPr>
      <xdr:spPr>
        <a:xfrm>
          <a:off x="5692140" y="1775460"/>
          <a:ext cx="3299460" cy="1851660"/>
        </a:xfrm>
        <a:prstGeom prst="roundRect">
          <a:avLst>
            <a:gd name="adj" fmla="val 378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205740</xdr:colOff>
      <xdr:row>0</xdr:row>
      <xdr:rowOff>68580</xdr:rowOff>
    </xdr:from>
    <xdr:ext cx="3360420" cy="266700"/>
    <xdr:sp macro="" textlink="">
      <xdr:nvSpPr>
        <xdr:cNvPr id="21" name="TextBox 20">
          <a:extLst>
            <a:ext uri="{FF2B5EF4-FFF2-40B4-BE49-F238E27FC236}">
              <a16:creationId xmlns:a16="http://schemas.microsoft.com/office/drawing/2014/main" id="{19608773-8E4F-2AA7-4918-F6E556B21672}"/>
            </a:ext>
          </a:extLst>
        </xdr:cNvPr>
        <xdr:cNvSpPr txBox="1"/>
      </xdr:nvSpPr>
      <xdr:spPr>
        <a:xfrm>
          <a:off x="815340" y="68580"/>
          <a:ext cx="336042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1"/>
            <a:t>HOSPITAL</a:t>
          </a:r>
          <a:r>
            <a:rPr lang="en-IN" sz="1200" b="1" baseline="0"/>
            <a:t> EMERGENCY ROOM DASHBOARD</a:t>
          </a:r>
          <a:endParaRPr lang="en-IN" sz="1200" b="1"/>
        </a:p>
      </xdr:txBody>
    </xdr:sp>
    <xdr:clientData/>
  </xdr:oneCellAnchor>
  <xdr:twoCellAnchor editAs="oneCell">
    <xdr:from>
      <xdr:col>0</xdr:col>
      <xdr:colOff>114300</xdr:colOff>
      <xdr:row>0</xdr:row>
      <xdr:rowOff>91440</xdr:rowOff>
    </xdr:from>
    <xdr:to>
      <xdr:col>1</xdr:col>
      <xdr:colOff>228600</xdr:colOff>
      <xdr:row>3</xdr:row>
      <xdr:rowOff>30480</xdr:rowOff>
    </xdr:to>
    <xdr:pic>
      <xdr:nvPicPr>
        <xdr:cNvPr id="23" name="Picture 22">
          <a:extLst>
            <a:ext uri="{FF2B5EF4-FFF2-40B4-BE49-F238E27FC236}">
              <a16:creationId xmlns:a16="http://schemas.microsoft.com/office/drawing/2014/main" id="{F141F864-9184-8CE7-74C5-B40217F8DCC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610" t="14584" r="22641" b="18750"/>
        <a:stretch>
          <a:fillRect/>
        </a:stretch>
      </xdr:blipFill>
      <xdr:spPr>
        <a:xfrm>
          <a:off x="114300" y="91440"/>
          <a:ext cx="723900" cy="487680"/>
        </a:xfrm>
        <a:prstGeom prst="rect">
          <a:avLst/>
        </a:prstGeom>
      </xdr:spPr>
    </xdr:pic>
    <xdr:clientData/>
  </xdr:twoCellAnchor>
  <xdr:oneCellAnchor>
    <xdr:from>
      <xdr:col>1</xdr:col>
      <xdr:colOff>579120</xdr:colOff>
      <xdr:row>1</xdr:row>
      <xdr:rowOff>137160</xdr:rowOff>
    </xdr:from>
    <xdr:ext cx="2522220" cy="280205"/>
    <xdr:sp macro="" textlink="">
      <xdr:nvSpPr>
        <xdr:cNvPr id="24" name="TextBox 23">
          <a:extLst>
            <a:ext uri="{FF2B5EF4-FFF2-40B4-BE49-F238E27FC236}">
              <a16:creationId xmlns:a16="http://schemas.microsoft.com/office/drawing/2014/main" id="{96FEA046-EE53-F407-C8EA-AFC617F12E79}"/>
            </a:ext>
          </a:extLst>
        </xdr:cNvPr>
        <xdr:cNvSpPr txBox="1"/>
      </xdr:nvSpPr>
      <xdr:spPr>
        <a:xfrm>
          <a:off x="1188720" y="320040"/>
          <a:ext cx="252222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200"/>
            <a:t>Monthly Report</a:t>
          </a:r>
        </a:p>
      </xdr:txBody>
    </xdr:sp>
    <xdr:clientData/>
  </xdr:oneCellAnchor>
  <xdr:oneCellAnchor>
    <xdr:from>
      <xdr:col>1</xdr:col>
      <xdr:colOff>152400</xdr:colOff>
      <xdr:row>4</xdr:row>
      <xdr:rowOff>15240</xdr:rowOff>
    </xdr:from>
    <xdr:ext cx="1432560" cy="220980"/>
    <xdr:sp macro="" textlink="'Pivot Report '!A5">
      <xdr:nvSpPr>
        <xdr:cNvPr id="25" name="TextBox 24">
          <a:extLst>
            <a:ext uri="{FF2B5EF4-FFF2-40B4-BE49-F238E27FC236}">
              <a16:creationId xmlns:a16="http://schemas.microsoft.com/office/drawing/2014/main" id="{3AD6B7D0-5130-C40B-BB35-3994473CBC06}"/>
            </a:ext>
          </a:extLst>
        </xdr:cNvPr>
        <xdr:cNvSpPr txBox="1"/>
      </xdr:nvSpPr>
      <xdr:spPr>
        <a:xfrm>
          <a:off x="762000" y="746760"/>
          <a:ext cx="143256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1ECB8BD-EBB8-4418-8D4A-5B0866DBCBE8}" type="TxLink">
            <a:rPr lang="en-US" sz="1100" b="0" i="0" u="none" strike="noStrike">
              <a:solidFill>
                <a:srgbClr val="000000"/>
              </a:solidFill>
              <a:latin typeface="Aptos Narrow"/>
            </a:rPr>
            <a:pPr algn="ctr"/>
            <a:t>469</a:t>
          </a:fld>
          <a:endParaRPr lang="en-US" sz="1100"/>
        </a:p>
      </xdr:txBody>
    </xdr:sp>
    <xdr:clientData/>
  </xdr:oneCellAnchor>
  <xdr:oneCellAnchor>
    <xdr:from>
      <xdr:col>1</xdr:col>
      <xdr:colOff>76200</xdr:colOff>
      <xdr:row>5</xdr:row>
      <xdr:rowOff>15240</xdr:rowOff>
    </xdr:from>
    <xdr:ext cx="1432560" cy="220980"/>
    <xdr:sp macro="" textlink="'Pivot Report '!A5">
      <xdr:nvSpPr>
        <xdr:cNvPr id="26" name="TextBox 25">
          <a:extLst>
            <a:ext uri="{FF2B5EF4-FFF2-40B4-BE49-F238E27FC236}">
              <a16:creationId xmlns:a16="http://schemas.microsoft.com/office/drawing/2014/main" id="{0559315E-15B4-59A2-9165-0F1F3FD386C4}"/>
            </a:ext>
          </a:extLst>
        </xdr:cNvPr>
        <xdr:cNvSpPr txBox="1"/>
      </xdr:nvSpPr>
      <xdr:spPr>
        <a:xfrm>
          <a:off x="685800" y="929640"/>
          <a:ext cx="143256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a:t>No.</a:t>
          </a:r>
          <a:r>
            <a:rPr lang="en-US" sz="1100" baseline="0"/>
            <a:t> of Patients</a:t>
          </a:r>
        </a:p>
        <a:p>
          <a:pPr algn="ctr"/>
          <a:endParaRPr lang="en-US" sz="1100"/>
        </a:p>
      </xdr:txBody>
    </xdr:sp>
    <xdr:clientData/>
  </xdr:oneCellAnchor>
  <xdr:oneCellAnchor>
    <xdr:from>
      <xdr:col>3</xdr:col>
      <xdr:colOff>548640</xdr:colOff>
      <xdr:row>3</xdr:row>
      <xdr:rowOff>167640</xdr:rowOff>
    </xdr:from>
    <xdr:ext cx="1432560" cy="220980"/>
    <xdr:sp macro="" textlink="'Pivot Report '!A9">
      <xdr:nvSpPr>
        <xdr:cNvPr id="27" name="TextBox 26">
          <a:extLst>
            <a:ext uri="{FF2B5EF4-FFF2-40B4-BE49-F238E27FC236}">
              <a16:creationId xmlns:a16="http://schemas.microsoft.com/office/drawing/2014/main" id="{8B44A307-CF40-B2BA-132C-404B47C19573}"/>
            </a:ext>
          </a:extLst>
        </xdr:cNvPr>
        <xdr:cNvSpPr txBox="1"/>
      </xdr:nvSpPr>
      <xdr:spPr>
        <a:xfrm>
          <a:off x="2377440" y="716280"/>
          <a:ext cx="143256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AB714E6A-4280-49CE-8883-09144AFC5574}" type="TxLink">
            <a:rPr lang="en-US" sz="1100" b="0" i="0" u="none" strike="noStrike">
              <a:solidFill>
                <a:srgbClr val="000000"/>
              </a:solidFill>
              <a:latin typeface="Aptos Narrow"/>
            </a:rPr>
            <a:pPr algn="ctr"/>
            <a:t>34.97</a:t>
          </a:fld>
          <a:endParaRPr lang="en-US" sz="1100"/>
        </a:p>
      </xdr:txBody>
    </xdr:sp>
    <xdr:clientData/>
  </xdr:oneCellAnchor>
  <xdr:oneCellAnchor>
    <xdr:from>
      <xdr:col>3</xdr:col>
      <xdr:colOff>541020</xdr:colOff>
      <xdr:row>4</xdr:row>
      <xdr:rowOff>175260</xdr:rowOff>
    </xdr:from>
    <xdr:ext cx="1432560" cy="220980"/>
    <xdr:sp macro="" textlink="'Pivot Report '!A5">
      <xdr:nvSpPr>
        <xdr:cNvPr id="28" name="TextBox 27">
          <a:extLst>
            <a:ext uri="{FF2B5EF4-FFF2-40B4-BE49-F238E27FC236}">
              <a16:creationId xmlns:a16="http://schemas.microsoft.com/office/drawing/2014/main" id="{9B8EA7D8-0F7C-B709-4E7F-1B224AF82BC7}"/>
            </a:ext>
          </a:extLst>
        </xdr:cNvPr>
        <xdr:cNvSpPr txBox="1"/>
      </xdr:nvSpPr>
      <xdr:spPr>
        <a:xfrm>
          <a:off x="2369820" y="906780"/>
          <a:ext cx="143256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t>Avg. Wait Time</a:t>
          </a:r>
        </a:p>
        <a:p>
          <a:pPr algn="ctr"/>
          <a:endParaRPr lang="en-US" sz="1100" baseline="0"/>
        </a:p>
        <a:p>
          <a:pPr algn="ctr"/>
          <a:endParaRPr lang="en-US" sz="1100" baseline="0"/>
        </a:p>
        <a:p>
          <a:pPr algn="ctr"/>
          <a:endParaRPr lang="en-US" sz="1100"/>
        </a:p>
      </xdr:txBody>
    </xdr:sp>
    <xdr:clientData/>
  </xdr:oneCellAnchor>
  <xdr:oneCellAnchor>
    <xdr:from>
      <xdr:col>6</xdr:col>
      <xdr:colOff>419100</xdr:colOff>
      <xdr:row>4</xdr:row>
      <xdr:rowOff>152400</xdr:rowOff>
    </xdr:from>
    <xdr:ext cx="1432560" cy="220980"/>
    <xdr:sp macro="" textlink="'Pivot Report '!A13">
      <xdr:nvSpPr>
        <xdr:cNvPr id="29" name="TextBox 28">
          <a:extLst>
            <a:ext uri="{FF2B5EF4-FFF2-40B4-BE49-F238E27FC236}">
              <a16:creationId xmlns:a16="http://schemas.microsoft.com/office/drawing/2014/main" id="{FA050EDD-933B-62D1-634B-7E727AD6D7A0}"/>
            </a:ext>
          </a:extLst>
        </xdr:cNvPr>
        <xdr:cNvSpPr txBox="1"/>
      </xdr:nvSpPr>
      <xdr:spPr>
        <a:xfrm>
          <a:off x="4076700" y="883920"/>
          <a:ext cx="143256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3C331FF3-D2D5-4A2A-A55D-3146A72D21A3}" type="TxLink">
            <a:rPr lang="en-US" sz="1100" b="0" i="0" u="none" strike="noStrike">
              <a:solidFill>
                <a:srgbClr val="000000"/>
              </a:solidFill>
              <a:latin typeface="Aptos Narrow"/>
            </a:rPr>
            <a:pPr algn="ctr"/>
            <a:t>4.99</a:t>
          </a:fld>
          <a:endParaRPr lang="en-US" sz="1100"/>
        </a:p>
      </xdr:txBody>
    </xdr:sp>
    <xdr:clientData/>
  </xdr:oneCellAnchor>
  <xdr:oneCellAnchor>
    <xdr:from>
      <xdr:col>6</xdr:col>
      <xdr:colOff>419100</xdr:colOff>
      <xdr:row>6</xdr:row>
      <xdr:rowOff>15240</xdr:rowOff>
    </xdr:from>
    <xdr:ext cx="1455420" cy="548640"/>
    <xdr:sp macro="" textlink="'Pivot Report '!A5">
      <xdr:nvSpPr>
        <xdr:cNvPr id="30" name="TextBox 29">
          <a:extLst>
            <a:ext uri="{FF2B5EF4-FFF2-40B4-BE49-F238E27FC236}">
              <a16:creationId xmlns:a16="http://schemas.microsoft.com/office/drawing/2014/main" id="{620CE8E8-94E9-EF11-ADCA-D1E2C06C0F33}"/>
            </a:ext>
          </a:extLst>
        </xdr:cNvPr>
        <xdr:cNvSpPr txBox="1"/>
      </xdr:nvSpPr>
      <xdr:spPr>
        <a:xfrm>
          <a:off x="4076700" y="1112520"/>
          <a:ext cx="145542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050" baseline="0"/>
            <a:t>Patient Satisfaction</a:t>
          </a:r>
          <a:r>
            <a:rPr lang="en-US" sz="1400" baseline="0"/>
            <a:t> score</a:t>
          </a:r>
        </a:p>
        <a:p>
          <a:pPr algn="ctr"/>
          <a:endParaRPr lang="en-US" sz="1100" baseline="0"/>
        </a:p>
        <a:p>
          <a:pPr algn="ctr"/>
          <a:endParaRPr lang="en-US" sz="1100"/>
        </a:p>
      </xdr:txBody>
    </xdr:sp>
    <xdr:clientData/>
  </xdr:oneCellAnchor>
  <xdr:twoCellAnchor editAs="oneCell">
    <xdr:from>
      <xdr:col>5</xdr:col>
      <xdr:colOff>411480</xdr:colOff>
      <xdr:row>4</xdr:row>
      <xdr:rowOff>7620</xdr:rowOff>
    </xdr:from>
    <xdr:to>
      <xdr:col>6</xdr:col>
      <xdr:colOff>228600</xdr:colOff>
      <xdr:row>6</xdr:row>
      <xdr:rowOff>68580</xdr:rowOff>
    </xdr:to>
    <xdr:pic>
      <xdr:nvPicPr>
        <xdr:cNvPr id="32" name="Graphic 31" descr="Stopwatch with solid fill">
          <a:extLst>
            <a:ext uri="{FF2B5EF4-FFF2-40B4-BE49-F238E27FC236}">
              <a16:creationId xmlns:a16="http://schemas.microsoft.com/office/drawing/2014/main" id="{BAD07334-5814-0A5B-E913-886A35649B2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459480" y="739140"/>
          <a:ext cx="426720" cy="426720"/>
        </a:xfrm>
        <a:prstGeom prst="rect">
          <a:avLst/>
        </a:prstGeom>
      </xdr:spPr>
    </xdr:pic>
    <xdr:clientData/>
  </xdr:twoCellAnchor>
  <xdr:twoCellAnchor editAs="oneCell">
    <xdr:from>
      <xdr:col>2</xdr:col>
      <xdr:colOff>563880</xdr:colOff>
      <xdr:row>3</xdr:row>
      <xdr:rowOff>175260</xdr:rowOff>
    </xdr:from>
    <xdr:to>
      <xdr:col>3</xdr:col>
      <xdr:colOff>396240</xdr:colOff>
      <xdr:row>6</xdr:row>
      <xdr:rowOff>68580</xdr:rowOff>
    </xdr:to>
    <xdr:pic>
      <xdr:nvPicPr>
        <xdr:cNvPr id="34" name="Graphic 33" descr="User with solid fill">
          <a:extLst>
            <a:ext uri="{FF2B5EF4-FFF2-40B4-BE49-F238E27FC236}">
              <a16:creationId xmlns:a16="http://schemas.microsoft.com/office/drawing/2014/main" id="{96B906AB-618F-68D4-265D-D464277AE37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83080" y="723900"/>
          <a:ext cx="441960" cy="441960"/>
        </a:xfrm>
        <a:prstGeom prst="rect">
          <a:avLst/>
        </a:prstGeom>
      </xdr:spPr>
    </xdr:pic>
    <xdr:clientData/>
  </xdr:twoCellAnchor>
  <xdr:twoCellAnchor editAs="oneCell">
    <xdr:from>
      <xdr:col>8</xdr:col>
      <xdr:colOff>297180</xdr:colOff>
      <xdr:row>4</xdr:row>
      <xdr:rowOff>7620</xdr:rowOff>
    </xdr:from>
    <xdr:to>
      <xdr:col>9</xdr:col>
      <xdr:colOff>76200</xdr:colOff>
      <xdr:row>6</xdr:row>
      <xdr:rowOff>30480</xdr:rowOff>
    </xdr:to>
    <xdr:pic>
      <xdr:nvPicPr>
        <xdr:cNvPr id="36" name="Graphic 35" descr="Customer review with solid fill">
          <a:extLst>
            <a:ext uri="{FF2B5EF4-FFF2-40B4-BE49-F238E27FC236}">
              <a16:creationId xmlns:a16="http://schemas.microsoft.com/office/drawing/2014/main" id="{84FDB794-BE66-FEDC-5FDD-4AE833797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173980" y="739140"/>
          <a:ext cx="388620" cy="388620"/>
        </a:xfrm>
        <a:prstGeom prst="rect">
          <a:avLst/>
        </a:prstGeom>
      </xdr:spPr>
    </xdr:pic>
    <xdr:clientData/>
  </xdr:twoCellAnchor>
  <xdr:twoCellAnchor editAs="oneCell">
    <xdr:from>
      <xdr:col>0</xdr:col>
      <xdr:colOff>0</xdr:colOff>
      <xdr:row>3</xdr:row>
      <xdr:rowOff>152400</xdr:rowOff>
    </xdr:from>
    <xdr:to>
      <xdr:col>1</xdr:col>
      <xdr:colOff>137850</xdr:colOff>
      <xdr:row>19</xdr:row>
      <xdr:rowOff>91440</xdr:rowOff>
    </xdr:to>
    <mc:AlternateContent xmlns:mc="http://schemas.openxmlformats.org/markup-compatibility/2006" xmlns:a14="http://schemas.microsoft.com/office/drawing/2010/main">
      <mc:Choice Requires="a14">
        <xdr:graphicFrame macro="">
          <xdr:nvGraphicFramePr>
            <xdr:cNvPr id="37" name="Date (Month) 1">
              <a:extLst>
                <a:ext uri="{FF2B5EF4-FFF2-40B4-BE49-F238E27FC236}">
                  <a16:creationId xmlns:a16="http://schemas.microsoft.com/office/drawing/2014/main" id="{929C444B-26D1-44E7-93AC-DFEF815DFEFC}"/>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0" y="701040"/>
              <a:ext cx="747450" cy="2865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205740</xdr:colOff>
      <xdr:row>4</xdr:row>
      <xdr:rowOff>114300</xdr:rowOff>
    </xdr:from>
    <xdr:to>
      <xdr:col>3</xdr:col>
      <xdr:colOff>601980</xdr:colOff>
      <xdr:row>8</xdr:row>
      <xdr:rowOff>137160</xdr:rowOff>
    </xdr:to>
    <xdr:graphicFrame macro="">
      <xdr:nvGraphicFramePr>
        <xdr:cNvPr id="7" name="Chart 6">
          <a:extLst>
            <a:ext uri="{FF2B5EF4-FFF2-40B4-BE49-F238E27FC236}">
              <a16:creationId xmlns:a16="http://schemas.microsoft.com/office/drawing/2014/main" id="{F5433177-2B28-4CD2-94D4-4C7C8A2BA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472440</xdr:colOff>
      <xdr:row>6</xdr:row>
      <xdr:rowOff>45720</xdr:rowOff>
    </xdr:from>
    <xdr:to>
      <xdr:col>6</xdr:col>
      <xdr:colOff>342900</xdr:colOff>
      <xdr:row>8</xdr:row>
      <xdr:rowOff>160020</xdr:rowOff>
    </xdr:to>
    <xdr:graphicFrame macro="">
      <xdr:nvGraphicFramePr>
        <xdr:cNvPr id="78" name="Chart 77">
          <a:extLst>
            <a:ext uri="{FF2B5EF4-FFF2-40B4-BE49-F238E27FC236}">
              <a16:creationId xmlns:a16="http://schemas.microsoft.com/office/drawing/2014/main" id="{9B79FFB6-1DA3-4852-A535-813B4C8E2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190500</xdr:colOff>
      <xdr:row>9</xdr:row>
      <xdr:rowOff>91440</xdr:rowOff>
    </xdr:from>
    <xdr:to>
      <xdr:col>9</xdr:col>
      <xdr:colOff>60960</xdr:colOff>
      <xdr:row>12</xdr:row>
      <xdr:rowOff>91440</xdr:rowOff>
    </xdr:to>
    <xdr:pic>
      <xdr:nvPicPr>
        <xdr:cNvPr id="82" name="Picture 81">
          <a:extLst>
            <a:ext uri="{FF2B5EF4-FFF2-40B4-BE49-F238E27FC236}">
              <a16:creationId xmlns:a16="http://schemas.microsoft.com/office/drawing/2014/main" id="{3A1DF68B-023F-1595-A32E-15BA87E684F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00100" y="1737360"/>
          <a:ext cx="474726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160020</xdr:colOff>
      <xdr:row>14</xdr:row>
      <xdr:rowOff>15240</xdr:rowOff>
    </xdr:from>
    <xdr:to>
      <xdr:col>9</xdr:col>
      <xdr:colOff>144780</xdr:colOff>
      <xdr:row>19</xdr:row>
      <xdr:rowOff>152400</xdr:rowOff>
    </xdr:to>
    <xdr:graphicFrame macro="">
      <xdr:nvGraphicFramePr>
        <xdr:cNvPr id="83" name="Chart 82">
          <a:extLst>
            <a:ext uri="{FF2B5EF4-FFF2-40B4-BE49-F238E27FC236}">
              <a16:creationId xmlns:a16="http://schemas.microsoft.com/office/drawing/2014/main" id="{B8951B13-3C50-4D96-826A-00861ED46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3</xdr:col>
      <xdr:colOff>45720</xdr:colOff>
      <xdr:row>13</xdr:row>
      <xdr:rowOff>60960</xdr:rowOff>
    </xdr:from>
    <xdr:ext cx="2484120" cy="236220"/>
    <xdr:sp macro="" textlink="">
      <xdr:nvSpPr>
        <xdr:cNvPr id="84" name="TextBox 83">
          <a:extLst>
            <a:ext uri="{FF2B5EF4-FFF2-40B4-BE49-F238E27FC236}">
              <a16:creationId xmlns:a16="http://schemas.microsoft.com/office/drawing/2014/main" id="{6A2A039F-D7D7-B4AC-7C6E-9F3AD492B014}"/>
            </a:ext>
          </a:extLst>
        </xdr:cNvPr>
        <xdr:cNvSpPr txBox="1"/>
      </xdr:nvSpPr>
      <xdr:spPr>
        <a:xfrm>
          <a:off x="1874520" y="2438400"/>
          <a:ext cx="248412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b="1"/>
            <a:t>No. of Patient By Age Group</a:t>
          </a:r>
        </a:p>
        <a:p>
          <a:endParaRPr lang="en-IN" sz="1100"/>
        </a:p>
      </xdr:txBody>
    </xdr:sp>
    <xdr:clientData/>
  </xdr:oneCellAnchor>
  <xdr:twoCellAnchor>
    <xdr:from>
      <xdr:col>7</xdr:col>
      <xdr:colOff>510540</xdr:colOff>
      <xdr:row>0</xdr:row>
      <xdr:rowOff>106680</xdr:rowOff>
    </xdr:from>
    <xdr:to>
      <xdr:col>13</xdr:col>
      <xdr:colOff>30480</xdr:colOff>
      <xdr:row>8</xdr:row>
      <xdr:rowOff>129540</xdr:rowOff>
    </xdr:to>
    <xdr:graphicFrame macro="">
      <xdr:nvGraphicFramePr>
        <xdr:cNvPr id="85" name="Chart 84">
          <a:extLst>
            <a:ext uri="{FF2B5EF4-FFF2-40B4-BE49-F238E27FC236}">
              <a16:creationId xmlns:a16="http://schemas.microsoft.com/office/drawing/2014/main" id="{3E60E716-C28E-4518-B2F8-404916250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9</xdr:col>
      <xdr:colOff>289560</xdr:colOff>
      <xdr:row>7</xdr:row>
      <xdr:rowOff>91440</xdr:rowOff>
    </xdr:from>
    <xdr:ext cx="1386840" cy="256737"/>
    <xdr:sp macro="" textlink="">
      <xdr:nvSpPr>
        <xdr:cNvPr id="86" name="TextBox 85">
          <a:extLst>
            <a:ext uri="{FF2B5EF4-FFF2-40B4-BE49-F238E27FC236}">
              <a16:creationId xmlns:a16="http://schemas.microsoft.com/office/drawing/2014/main" id="{C0D3117E-981D-203B-1D28-EAA9D7EECBBD}"/>
            </a:ext>
          </a:extLst>
        </xdr:cNvPr>
        <xdr:cNvSpPr txBox="1"/>
      </xdr:nvSpPr>
      <xdr:spPr>
        <a:xfrm>
          <a:off x="5775960" y="1371600"/>
          <a:ext cx="138684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t> Patient</a:t>
          </a:r>
          <a:r>
            <a:rPr lang="en-IN" sz="1050" b="1" baseline="0"/>
            <a:t> Attend status</a:t>
          </a:r>
          <a:endParaRPr lang="en-IN" sz="1050" b="1"/>
        </a:p>
      </xdr:txBody>
    </xdr:sp>
    <xdr:clientData/>
  </xdr:oneCellAnchor>
  <xdr:twoCellAnchor>
    <xdr:from>
      <xdr:col>11</xdr:col>
      <xdr:colOff>60960</xdr:colOff>
      <xdr:row>0</xdr:row>
      <xdr:rowOff>175260</xdr:rowOff>
    </xdr:from>
    <xdr:to>
      <xdr:col>16</xdr:col>
      <xdr:colOff>175260</xdr:colOff>
      <xdr:row>8</xdr:row>
      <xdr:rowOff>45720</xdr:rowOff>
    </xdr:to>
    <xdr:graphicFrame macro="">
      <xdr:nvGraphicFramePr>
        <xdr:cNvPr id="87" name="Chart 86">
          <a:extLst>
            <a:ext uri="{FF2B5EF4-FFF2-40B4-BE49-F238E27FC236}">
              <a16:creationId xmlns:a16="http://schemas.microsoft.com/office/drawing/2014/main" id="{07D6DA8C-F406-4470-B5AF-FC8BE6D3A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12</xdr:col>
      <xdr:colOff>144780</xdr:colOff>
      <xdr:row>7</xdr:row>
      <xdr:rowOff>83820</xdr:rowOff>
    </xdr:from>
    <xdr:ext cx="1524000" cy="304800"/>
    <xdr:sp macro="" textlink="">
      <xdr:nvSpPr>
        <xdr:cNvPr id="90" name="TextBox 89">
          <a:extLst>
            <a:ext uri="{FF2B5EF4-FFF2-40B4-BE49-F238E27FC236}">
              <a16:creationId xmlns:a16="http://schemas.microsoft.com/office/drawing/2014/main" id="{4811B795-19D7-4664-986E-5F444C582BCE}"/>
            </a:ext>
          </a:extLst>
        </xdr:cNvPr>
        <xdr:cNvSpPr txBox="1"/>
      </xdr:nvSpPr>
      <xdr:spPr>
        <a:xfrm>
          <a:off x="7459980" y="1363980"/>
          <a:ext cx="15240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Gender</a:t>
          </a:r>
          <a:r>
            <a:rPr lang="en-IN" sz="1100" b="1" baseline="0"/>
            <a:t> Wise Analysis</a:t>
          </a:r>
          <a:endParaRPr lang="en-IN" sz="1100" b="1"/>
        </a:p>
      </xdr:txBody>
    </xdr:sp>
    <xdr:clientData/>
  </xdr:oneCellAnchor>
  <xdr:twoCellAnchor>
    <xdr:from>
      <xdr:col>9</xdr:col>
      <xdr:colOff>205740</xdr:colOff>
      <xdr:row>9</xdr:row>
      <xdr:rowOff>129540</xdr:rowOff>
    </xdr:from>
    <xdr:to>
      <xdr:col>14</xdr:col>
      <xdr:colOff>388620</xdr:colOff>
      <xdr:row>19</xdr:row>
      <xdr:rowOff>121920</xdr:rowOff>
    </xdr:to>
    <xdr:graphicFrame macro="">
      <xdr:nvGraphicFramePr>
        <xdr:cNvPr id="91" name="Chart 90">
          <a:extLst>
            <a:ext uri="{FF2B5EF4-FFF2-40B4-BE49-F238E27FC236}">
              <a16:creationId xmlns:a16="http://schemas.microsoft.com/office/drawing/2014/main" id="{9684E8B3-EE61-449D-88FE-75AEB5999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10</xdr:col>
      <xdr:colOff>472440</xdr:colOff>
      <xdr:row>18</xdr:row>
      <xdr:rowOff>7620</xdr:rowOff>
    </xdr:from>
    <xdr:ext cx="1828800" cy="256737"/>
    <xdr:sp macro="" textlink="">
      <xdr:nvSpPr>
        <xdr:cNvPr id="92" name="TextBox 91">
          <a:extLst>
            <a:ext uri="{FF2B5EF4-FFF2-40B4-BE49-F238E27FC236}">
              <a16:creationId xmlns:a16="http://schemas.microsoft.com/office/drawing/2014/main" id="{D73CEF2E-3E4B-CFC3-B71E-CE2296064D2E}"/>
            </a:ext>
          </a:extLst>
        </xdr:cNvPr>
        <xdr:cNvSpPr txBox="1"/>
      </xdr:nvSpPr>
      <xdr:spPr>
        <a:xfrm>
          <a:off x="6568440" y="3299460"/>
          <a:ext cx="182880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t> No.</a:t>
          </a:r>
          <a:r>
            <a:rPr lang="en-IN" sz="1050" b="1" baseline="0"/>
            <a:t> of Department Referral</a:t>
          </a:r>
          <a:endParaRPr lang="en-IN" sz="1050" b="1"/>
        </a:p>
      </xdr:txBody>
    </xdr:sp>
    <xdr:clientData/>
  </xdr:oneCellAnchor>
  <xdr:twoCellAnchor editAs="oneCell">
    <xdr:from>
      <xdr:col>6</xdr:col>
      <xdr:colOff>495300</xdr:colOff>
      <xdr:row>0</xdr:row>
      <xdr:rowOff>106681</xdr:rowOff>
    </xdr:from>
    <xdr:to>
      <xdr:col>8</xdr:col>
      <xdr:colOff>586740</xdr:colOff>
      <xdr:row>2</xdr:row>
      <xdr:rowOff>152400</xdr:rowOff>
    </xdr:to>
    <mc:AlternateContent xmlns:mc="http://schemas.openxmlformats.org/markup-compatibility/2006">
      <mc:Choice xmlns:a14="http://schemas.microsoft.com/office/drawing/2010/main" Requires="a14">
        <xdr:graphicFrame macro="">
          <xdr:nvGraphicFramePr>
            <xdr:cNvPr id="93" name="Date (Year) 1">
              <a:extLst>
                <a:ext uri="{FF2B5EF4-FFF2-40B4-BE49-F238E27FC236}">
                  <a16:creationId xmlns:a16="http://schemas.microsoft.com/office/drawing/2014/main" id="{BD84B3E3-32E2-4417-98EB-B0F218E6F23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4136716" y="106681"/>
              <a:ext cx="1305245" cy="409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Tripathi" refreshedDate="46282.669501504628" createdVersion="5" refreshedVersion="8" minRefreshableVersion="3" recordCount="0" supportSubquery="1" supportAdvancedDrill="1" xr:uid="{DFA0A9D0-6A98-454F-A4A0-DD030CD09593}">
  <cacheSource type="external" connectionId="3"/>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Tripathi" refreshedDate="46282.669501620374" createdVersion="5" refreshedVersion="8" minRefreshableVersion="3" recordCount="0" supportSubquery="1" supportAdvancedDrill="1" xr:uid="{E8CFE065-B9CB-42ED-9E51-FB475172262B}">
  <cacheSource type="external" connectionId="3"/>
  <cacheFields count="2">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Tripathi" refreshedDate="46282.669528703707" createdVersion="5" refreshedVersion="8" minRefreshableVersion="3" recordCount="0" supportSubquery="1" supportAdvancedDrill="1" xr:uid="{F2C8EF9F-F680-4FDC-8E5E-C1F83D0291C8}">
  <cacheSource type="external" connectionId="3"/>
  <cacheFields count="4">
    <cacheField name="[Calender_Table].[Date (Month)].[Date (Month)]" caption="Date (Month)" numFmtId="0" hierarchy="1" level="1">
      <sharedItems count="1">
        <s v="Sep"/>
      </sharedItems>
    </cacheField>
    <cacheField name="[Calender_Table].[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Tripathi" refreshedDate="46282.669528935185" createdVersion="5" refreshedVersion="8" minRefreshableVersion="3" recordCount="0" supportSubquery="1" supportAdvancedDrill="1" xr:uid="{794AF393-C102-41C6-879D-887F64316037}">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Tripathi" refreshedDate="46282.669529398147" createdVersion="5" refreshedVersion="8" minRefreshableVersion="3" recordCount="0" supportSubquery="1" supportAdvancedDrill="1" xr:uid="{B41245A8-3A68-4100-A7C6-A962106A37BA}">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Tripathi" refreshedDate="46282.669529976854" createdVersion="5" refreshedVersion="8" minRefreshableVersion="3" recordCount="0" supportSubquery="1" supportAdvancedDrill="1" xr:uid="{24DD0106-22CC-4F75-A8E6-38F2082D4C5C}">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Tripathi" refreshedDate="46282.669530555555" createdVersion="5" refreshedVersion="8" minRefreshableVersion="3" recordCount="0" supportSubquery="1" supportAdvancedDrill="1" xr:uid="{AA595405-3BC5-4E7F-89DB-78E6D47B896A}">
  <cacheSource type="external" connectionId="3"/>
  <cacheFields count="4">
    <cacheField name="[Calender_Table].[Date (Day)].[Date (Day)]" caption="Date (Day)" numFmtId="0" hierarchy="2" level="1">
      <sharedItems count="31">
        <s v="1-Apr"/>
        <s v="2-Apr"/>
        <s v="3-Apr"/>
        <s v="4-Apr"/>
        <s v="5-Apr"/>
        <s v="6-Apr"/>
        <s v="7-Apr"/>
        <s v="8-Apr"/>
        <s v="9-Apr"/>
        <s v="10-Apr"/>
        <s v="11-Apr"/>
        <s v="12-Apr"/>
        <s v="13-Apr"/>
        <s v="14-Apr"/>
        <s v="15-Apr"/>
        <s v="16-Apr"/>
        <s v="17-Apr"/>
        <s v="18-Apr"/>
        <s v="19-Apr"/>
        <s v="20-Apr"/>
        <s v="21-Apr"/>
        <s v="22-Apr"/>
        <s v="23-Apr"/>
        <s v="24-Apr"/>
        <s v="25-Apr"/>
        <s v="26-Apr"/>
        <s v="27-Apr"/>
        <s v="28-Apr"/>
        <s v="29-Apr"/>
        <s v="30-Apr"/>
        <s v="1-Jan" u="1"/>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Tripathi" refreshedDate="46282.669531134263" createdVersion="5" refreshedVersion="8" minRefreshableVersion="3" recordCount="0" supportSubquery="1" supportAdvancedDrill="1" xr:uid="{589CC2C0-D457-45B3-B0BD-36180211E471}">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Tripathi" refreshedDate="46282.669531597225" createdVersion="5" refreshedVersion="8" minRefreshableVersion="3" recordCount="0" supportSubquery="1" supportAdvancedDrill="1" xr:uid="{998C9DDA-368C-4B31-AF7F-9867CC8221FA}">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Tripathi" refreshedDate="46282.669531944448" createdVersion="5" refreshedVersion="8" minRefreshableVersion="3" recordCount="0" supportSubquery="1" supportAdvancedDrill="1" xr:uid="{FD2FDD18-2A0F-4E4E-8931-0878405217BE}">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Tripathi" refreshedDate="46282.669532291664" createdVersion="5" refreshedVersion="8" minRefreshableVersion="3" recordCount="0" supportSubquery="1" supportAdvancedDrill="1" xr:uid="{1F7382D6-5F1A-4EE7-9150-34BD32AF4946}">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
        <s v="M"/>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un Tripathi" refreshedDate="46282.654559606483" createdVersion="3" refreshedVersion="8" minRefreshableVersion="3" recordCount="0" supportSubquery="1" supportAdvancedDrill="1" xr:uid="{705AEE1E-6FD7-4A38-878C-656A7BA5775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074573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9DA0F4-9CC6-4959-B6C3-F1DC50CBFFCE}" name="PivotTable11" cacheId="1222" applyNumberFormats="0" applyBorderFormats="0" applyFontFormats="0" applyPatternFormats="0" applyAlignmentFormats="0" applyWidthHeightFormats="1" dataCaption="Values" tag="23578889-b860-4db0-869f-67974608a7d2" updatedVersion="8" minRefreshableVersion="3" useAutoFormatting="1" subtotalHiddenItems="1" itemPrintTitles="1" createdVersion="5" indent="0" outline="1" outlineData="1" multipleFieldFilters="0" chartFormat="27">
  <location ref="A117:A11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59">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5DF486-825A-48D2-9688-2DEBCECDF56F}" name="PivotTable10" cacheId="1228" applyNumberFormats="0" applyBorderFormats="0" applyFontFormats="0" applyPatternFormats="0" applyAlignmentFormats="0" applyWidthHeightFormats="1" dataCaption="Values" tag="23578889-b860-4db0-869f-67974608a7d2" updatedVersion="8" minRefreshableVersion="3" useAutoFormatting="1" subtotalHiddenItems="1" itemPrintTitles="1" createdVersion="5" indent="0" outline="1" outlineData="1" multipleFieldFilters="0" chartFormat="27">
  <location ref="A103:B11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1">
    <format dxfId="153">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1" count="1" selected="0">
            <x v="4"/>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82592F-8DB3-4A79-944E-CA98E14F896B}" name="PivotTable9" cacheId="1246" applyNumberFormats="0" applyBorderFormats="0" applyFontFormats="0" applyPatternFormats="0" applyAlignmentFormats="0" applyWidthHeightFormats="1" dataCaption="Values" tag="23578889-b860-4db0-869f-67974608a7d2" updatedVersion="8" minRefreshableVersion="3" useAutoFormatting="1" subtotalHiddenItems="1" itemPrintTitles="1" createdVersion="5" indent="0" outline="1" outlineData="1" multipleFieldFilters="0" chartFormat="18">
  <location ref="A95:B9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54">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A1A77E-F0D9-4032-BF57-AB399DD85F21}" name="PivotTable8" cacheId="1243" applyNumberFormats="0" applyBorderFormats="0" applyFontFormats="0" applyPatternFormats="0" applyAlignmentFormats="0" applyWidthHeightFormats="1" dataCaption="Values" tag="23578889-b860-4db0-869f-67974608a7d2" updatedVersion="8" minRefreshableVersion="3" useAutoFormatting="1" subtotalHiddenItems="1" itemPrintTitles="1" createdVersion="5" indent="0" outline="1" outlineData="1" multipleFieldFilters="0" chartFormat="13">
  <location ref="A87:B9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55">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D6DF50-FE25-454A-BA6B-2031B9BCF7D0}" name="PivotTable7" cacheId="1240" applyNumberFormats="0" applyBorderFormats="0" applyFontFormats="0" applyPatternFormats="0" applyAlignmentFormats="0" applyWidthHeightFormats="1" dataCaption="Values" tag="23578889-b860-4db0-869f-67974608a7d2" updatedVersion="8" minRefreshableVersion="3" useAutoFormatting="1" subtotalHiddenItems="1" itemPrintTitles="1" createdVersion="5" indent="0" outline="1" outlineData="1" multipleFieldFilters="0" chartFormat="7">
  <location ref="A73:B8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5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9BAB2B-D427-4243-B015-57B89042DD33}" name="PivotTable6" cacheId="1237" applyNumberFormats="0" applyBorderFormats="0" applyFontFormats="0" applyPatternFormats="0" applyAlignmentFormats="0" applyWidthHeightFormats="1" dataCaption="Values" tag="23578889-b860-4db0-869f-67974608a7d2" updatedVersion="8" minRefreshableVersion="3" useAutoFormatting="1" subtotalHiddenItems="1" itemPrintTitles="1" createdVersion="5" indent="0" outline="1" outlineData="1" multipleFieldFilters="0" chartFormat="5">
  <location ref="D43:F4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1"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57">
      <pivotArea outline="0" collapsedLevelsAreSubtotals="1" fieldPosition="0"/>
    </format>
    <format dxfId="15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A5E1BA-D56F-4D36-89E8-DE09FAB0317A}" name="PivotTable5" cacheId="1234" applyNumberFormats="0" applyBorderFormats="0" applyFontFormats="0" applyPatternFormats="0" applyAlignmentFormats="0" applyWidthHeightFormats="1" dataCaption="Values" tag="d8e224c2-6953-4641-acce-0e304ca50b9f" updatedVersion="8" minRefreshableVersion="3" useAutoFormatting="1" subtotalHiddenItems="1" itemPrintTitles="1" createdVersion="5" indent="0" outline="1" outlineData="1" multipleFieldFilters="0" chartFormat="65">
  <location ref="A21:B52"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2">
    <format dxfId="159">
      <pivotArea collapsedLevelsAreSubtotals="1" fieldPosition="0">
        <references count="1">
          <reference field="0" count="1">
            <x v="30"/>
          </reference>
        </references>
      </pivotArea>
    </format>
    <format dxfId="160">
      <pivotArea outline="0" collapsedLevelsAreSubtotals="1" fieldPosition="0"/>
    </format>
  </formats>
  <chartFormats count="1">
    <chartFormat chart="6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00E2CC-6A3B-4363-AA63-5CFBFCDDFA2D}" name="PivotTable3" cacheId="1198" applyNumberFormats="0" applyBorderFormats="0" applyFontFormats="0" applyPatternFormats="0" applyAlignmentFormats="0" applyWidthHeightFormats="1" dataCaption="Values" tag="23578889-b860-4db0-869f-67974608a7d2" updatedVersion="8" minRefreshableVersion="3" useAutoFormatting="1"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61">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5C9FED-EB53-49C9-9BA6-532443F22BE1}" name="PivotTable2" cacheId="1195" applyNumberFormats="0" applyBorderFormats="0" applyFontFormats="0" applyPatternFormats="0" applyAlignmentFormats="0" applyWidthHeightFormats="1" dataCaption="Values" tag="019b73d7-477a-4cbf-930b-046db39448e7" updatedVersion="8" minRefreshableVersion="3" useAutoFormatting="1"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2">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13DA6D-B678-456D-8CC7-7EFCA3234A96}" name="PivotTable1" cacheId="1225" applyNumberFormats="0" applyBorderFormats="0" applyFontFormats="0" applyPatternFormats="0" applyAlignmentFormats="0" applyWidthHeightFormats="1" dataCaption="Values" tag="2bfd0671-1626-44f4-a94a-701ae407e89c"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44944C-A91D-4666-8507-82B3909B1480}" name="PivotTable4" cacheId="1231" applyNumberFormats="0" applyBorderFormats="0" applyFontFormats="0" applyPatternFormats="0" applyAlignmentFormats="0" applyWidthHeightFormats="1" dataCaption="Values" tag="d8e224c2-6953-4641-acce-0e304ca50b9f" updatedVersion="8" minRefreshableVersion="3" useAutoFormatting="1" subtotalHiddenItems="1" itemPrintTitles="1" createdVersion="5" indent="0" outline="1" outlineData="1" multipleFieldFilters="0" chartFormat="57">
  <location ref="E4:F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06FF131-989D-48A3-AFB7-20953B77B4BA}"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s>
  <data>
    <olap pivotCacheId="170745735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6ACA6D1-C1CF-42EC-8CF1-FD2370343E4E}" sourceName="[Calender_Table].[Date (Year)]">
  <pivotTables>
    <pivotTable tabId="1" name="PivotTable11"/>
    <pivotTable tabId="1" name="PivotTable1"/>
    <pivotTable tabId="1" name="PivotTable10"/>
    <pivotTable tabId="1" name="PivotTable4"/>
    <pivotTable tabId="1" name="PivotTable5"/>
    <pivotTable tabId="1" name="PivotTable6"/>
    <pivotTable tabId="1" name="PivotTable7"/>
    <pivotTable tabId="1" name="PivotTable8"/>
    <pivotTable tabId="1" name="PivotTable9"/>
  </pivotTables>
  <data>
    <olap pivotCacheId="170745735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97C940E-8231-48FE-9AC0-3C7B9D745E57}" cache="Slicer_Date__Month" caption="Date (Month)" level="1" rowHeight="247650"/>
  <slicer name="Date (Year)" xr10:uid="{759F8C0F-6F30-4A2C-B81D-E9B2B952D8C4}" cache="Slicer_Date__Year" caption="Date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E6A1AE8E-FCF5-4C24-A73E-1C7326C6AA4E}" cache="Slicer_Date__Month" caption="Date (Month)" showCaption="0" level="1" style="My style " rowHeight="180000"/>
  <slicer name="Date (Year) 1" xr10:uid="{248AB58C-292A-4263-86AC-52D37EB8F59D}" cache="Slicer_Date__Year" caption="Date (Year)" columnCount="2" showCaption="0" level="1" style="My style "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34D9E-0315-4686-8758-DB7E85C57BAB}">
  <dimension ref="A3:G119"/>
  <sheetViews>
    <sheetView topLeftCell="A102" workbookViewId="0">
      <selection activeCell="A118" sqref="A118"/>
    </sheetView>
  </sheetViews>
  <sheetFormatPr defaultRowHeight="14.4" x14ac:dyDescent="0.3"/>
  <cols>
    <col min="1" max="1" width="12.44140625" bestFit="1" customWidth="1"/>
    <col min="2" max="2" width="20.77734375" bestFit="1" customWidth="1"/>
    <col min="4" max="4" width="12.44140625" bestFit="1" customWidth="1"/>
    <col min="5" max="5" width="27.44140625" bestFit="1" customWidth="1"/>
    <col min="6" max="6" width="28.44140625" bestFit="1" customWidth="1"/>
    <col min="7" max="7" width="15.6640625" customWidth="1"/>
    <col min="8" max="8" width="4.109375" bestFit="1" customWidth="1"/>
    <col min="9" max="9" width="4" bestFit="1" customWidth="1"/>
    <col min="10" max="10" width="4.33203125" bestFit="1" customWidth="1"/>
    <col min="11" max="12" width="4" bestFit="1" customWidth="1"/>
    <col min="13" max="13" width="5" bestFit="1" customWidth="1"/>
    <col min="14" max="14" width="4.21875" bestFit="1" customWidth="1"/>
    <col min="15" max="15" width="4" bestFit="1" customWidth="1"/>
    <col min="16" max="17" width="4.21875" bestFit="1" customWidth="1"/>
    <col min="18" max="18" width="10.5546875" bestFit="1" customWidth="1"/>
    <col min="19" max="19" width="6" bestFit="1" customWidth="1"/>
    <col min="20" max="20" width="5.33203125" bestFit="1" customWidth="1"/>
    <col min="21" max="21" width="6.33203125" bestFit="1" customWidth="1"/>
    <col min="22" max="22" width="5.6640625" bestFit="1" customWidth="1"/>
    <col min="23" max="23" width="5.88671875" bestFit="1" customWidth="1"/>
    <col min="24" max="24" width="6.33203125" bestFit="1" customWidth="1"/>
    <col min="25" max="25" width="10.5546875" bestFit="1" customWidth="1"/>
    <col min="26" max="584" width="10.33203125" bestFit="1" customWidth="1"/>
    <col min="585" max="585" width="10.5546875" bestFit="1" customWidth="1"/>
  </cols>
  <sheetData>
    <row r="3" spans="1:6" x14ac:dyDescent="0.3">
      <c r="A3" t="s">
        <v>3</v>
      </c>
      <c r="E3" t="s">
        <v>3</v>
      </c>
    </row>
    <row r="4" spans="1:6" x14ac:dyDescent="0.3">
      <c r="A4" t="s">
        <v>0</v>
      </c>
      <c r="E4" s="1" t="s">
        <v>5</v>
      </c>
      <c r="F4" t="s">
        <v>0</v>
      </c>
    </row>
    <row r="5" spans="1:6" x14ac:dyDescent="0.3">
      <c r="A5" s="5">
        <v>469</v>
      </c>
      <c r="E5" s="4" t="s">
        <v>12</v>
      </c>
      <c r="F5" s="5">
        <v>12</v>
      </c>
    </row>
    <row r="6" spans="1:6" x14ac:dyDescent="0.3">
      <c r="E6" s="4" t="s">
        <v>13</v>
      </c>
      <c r="F6" s="5">
        <v>19</v>
      </c>
    </row>
    <row r="7" spans="1:6" x14ac:dyDescent="0.3">
      <c r="E7" s="4" t="s">
        <v>14</v>
      </c>
      <c r="F7" s="5">
        <v>17</v>
      </c>
    </row>
    <row r="8" spans="1:6" x14ac:dyDescent="0.3">
      <c r="A8" t="s">
        <v>1</v>
      </c>
      <c r="E8" s="4" t="s">
        <v>15</v>
      </c>
      <c r="F8" s="5">
        <v>20</v>
      </c>
    </row>
    <row r="9" spans="1:6" x14ac:dyDescent="0.3">
      <c r="A9" s="2">
        <v>34.972573839662445</v>
      </c>
      <c r="E9" s="4" t="s">
        <v>16</v>
      </c>
      <c r="F9" s="5">
        <v>15</v>
      </c>
    </row>
    <row r="10" spans="1:6" x14ac:dyDescent="0.3">
      <c r="E10" s="4" t="s">
        <v>17</v>
      </c>
      <c r="F10" s="5">
        <v>17</v>
      </c>
    </row>
    <row r="11" spans="1:6" x14ac:dyDescent="0.3">
      <c r="E11" s="4" t="s">
        <v>18</v>
      </c>
      <c r="F11" s="5">
        <v>16</v>
      </c>
    </row>
    <row r="12" spans="1:6" x14ac:dyDescent="0.3">
      <c r="A12" t="s">
        <v>2</v>
      </c>
      <c r="E12" s="4" t="s">
        <v>19</v>
      </c>
      <c r="F12" s="5">
        <v>10</v>
      </c>
    </row>
    <row r="13" spans="1:6" x14ac:dyDescent="0.3">
      <c r="A13" s="2">
        <v>4.9889298892988929</v>
      </c>
      <c r="E13" s="4" t="s">
        <v>20</v>
      </c>
      <c r="F13" s="5">
        <v>15</v>
      </c>
    </row>
    <row r="14" spans="1:6" x14ac:dyDescent="0.3">
      <c r="E14" s="4" t="s">
        <v>21</v>
      </c>
      <c r="F14" s="5">
        <v>14</v>
      </c>
    </row>
    <row r="15" spans="1:6" x14ac:dyDescent="0.3">
      <c r="E15" s="4" t="s">
        <v>22</v>
      </c>
      <c r="F15" s="5">
        <v>16</v>
      </c>
    </row>
    <row r="16" spans="1:6" x14ac:dyDescent="0.3">
      <c r="E16" s="4" t="s">
        <v>23</v>
      </c>
      <c r="F16" s="5">
        <v>12</v>
      </c>
    </row>
    <row r="17" spans="1:6" x14ac:dyDescent="0.3">
      <c r="E17" s="4" t="s">
        <v>24</v>
      </c>
      <c r="F17" s="5">
        <v>12</v>
      </c>
    </row>
    <row r="18" spans="1:6" x14ac:dyDescent="0.3">
      <c r="E18" s="4" t="s">
        <v>25</v>
      </c>
      <c r="F18" s="5">
        <v>13</v>
      </c>
    </row>
    <row r="19" spans="1:6" x14ac:dyDescent="0.3">
      <c r="E19" s="4" t="s">
        <v>26</v>
      </c>
      <c r="F19" s="5">
        <v>20</v>
      </c>
    </row>
    <row r="20" spans="1:6" x14ac:dyDescent="0.3">
      <c r="A20" t="s">
        <v>6</v>
      </c>
      <c r="E20" s="4" t="s">
        <v>27</v>
      </c>
      <c r="F20" s="5">
        <v>17</v>
      </c>
    </row>
    <row r="21" spans="1:6" x14ac:dyDescent="0.3">
      <c r="A21" s="1" t="s">
        <v>5</v>
      </c>
      <c r="B21" t="s">
        <v>1</v>
      </c>
      <c r="E21" s="4" t="s">
        <v>28</v>
      </c>
      <c r="F21" s="5">
        <v>10</v>
      </c>
    </row>
    <row r="22" spans="1:6" x14ac:dyDescent="0.3">
      <c r="A22" s="4" t="s">
        <v>12</v>
      </c>
      <c r="B22" s="2">
        <v>31.833333333333332</v>
      </c>
      <c r="E22" s="4" t="s">
        <v>29</v>
      </c>
      <c r="F22" s="5">
        <v>16</v>
      </c>
    </row>
    <row r="23" spans="1:6" x14ac:dyDescent="0.3">
      <c r="A23" s="4" t="s">
        <v>13</v>
      </c>
      <c r="B23" s="2">
        <v>39.368421052631582</v>
      </c>
      <c r="E23" s="4" t="s">
        <v>30</v>
      </c>
      <c r="F23" s="5">
        <v>13</v>
      </c>
    </row>
    <row r="24" spans="1:6" x14ac:dyDescent="0.3">
      <c r="A24" s="4" t="s">
        <v>14</v>
      </c>
      <c r="B24" s="2">
        <v>32.352941176470587</v>
      </c>
      <c r="E24" s="4" t="s">
        <v>31</v>
      </c>
      <c r="F24" s="5">
        <v>16</v>
      </c>
    </row>
    <row r="25" spans="1:6" x14ac:dyDescent="0.3">
      <c r="A25" s="4" t="s">
        <v>15</v>
      </c>
      <c r="B25" s="2">
        <v>34.049999999999997</v>
      </c>
      <c r="E25" s="4" t="s">
        <v>32</v>
      </c>
      <c r="F25" s="5">
        <v>18</v>
      </c>
    </row>
    <row r="26" spans="1:6" x14ac:dyDescent="0.3">
      <c r="A26" s="4" t="s">
        <v>16</v>
      </c>
      <c r="B26" s="2">
        <v>31.8</v>
      </c>
      <c r="E26" s="4" t="s">
        <v>33</v>
      </c>
      <c r="F26" s="5">
        <v>21</v>
      </c>
    </row>
    <row r="27" spans="1:6" x14ac:dyDescent="0.3">
      <c r="A27" s="4" t="s">
        <v>17</v>
      </c>
      <c r="B27" s="2">
        <v>37.823529411764703</v>
      </c>
      <c r="E27" s="4" t="s">
        <v>34</v>
      </c>
      <c r="F27" s="5">
        <v>15</v>
      </c>
    </row>
    <row r="28" spans="1:6" x14ac:dyDescent="0.3">
      <c r="A28" s="4" t="s">
        <v>18</v>
      </c>
      <c r="B28" s="2">
        <v>31.875</v>
      </c>
      <c r="E28" s="4" t="s">
        <v>35</v>
      </c>
      <c r="F28" s="5">
        <v>18</v>
      </c>
    </row>
    <row r="29" spans="1:6" x14ac:dyDescent="0.3">
      <c r="A29" s="4" t="s">
        <v>19</v>
      </c>
      <c r="B29" s="2">
        <v>27.3</v>
      </c>
      <c r="E29" s="4" t="s">
        <v>36</v>
      </c>
      <c r="F29" s="5">
        <v>15</v>
      </c>
    </row>
    <row r="30" spans="1:6" x14ac:dyDescent="0.3">
      <c r="A30" s="4" t="s">
        <v>20</v>
      </c>
      <c r="B30" s="2">
        <v>31.933333333333334</v>
      </c>
      <c r="E30" s="4" t="s">
        <v>37</v>
      </c>
      <c r="F30" s="5">
        <v>18</v>
      </c>
    </row>
    <row r="31" spans="1:6" x14ac:dyDescent="0.3">
      <c r="A31" s="4" t="s">
        <v>21</v>
      </c>
      <c r="B31" s="2">
        <v>30.5</v>
      </c>
      <c r="E31" s="4" t="s">
        <v>38</v>
      </c>
      <c r="F31" s="5">
        <v>19</v>
      </c>
    </row>
    <row r="32" spans="1:6" x14ac:dyDescent="0.3">
      <c r="A32" s="4" t="s">
        <v>22</v>
      </c>
      <c r="B32" s="2">
        <v>38.0625</v>
      </c>
      <c r="E32" s="4" t="s">
        <v>39</v>
      </c>
      <c r="F32" s="5">
        <v>16</v>
      </c>
    </row>
    <row r="33" spans="1:6" x14ac:dyDescent="0.3">
      <c r="A33" s="4" t="s">
        <v>23</v>
      </c>
      <c r="B33" s="2">
        <v>36.333333333333336</v>
      </c>
      <c r="E33" s="4" t="s">
        <v>40</v>
      </c>
      <c r="F33" s="5">
        <v>13</v>
      </c>
    </row>
    <row r="34" spans="1:6" x14ac:dyDescent="0.3">
      <c r="A34" s="4" t="s">
        <v>24</v>
      </c>
      <c r="B34" s="2">
        <v>27</v>
      </c>
      <c r="E34" s="4" t="s">
        <v>41</v>
      </c>
      <c r="F34" s="5">
        <v>16</v>
      </c>
    </row>
    <row r="35" spans="1:6" x14ac:dyDescent="0.3">
      <c r="A35" s="4" t="s">
        <v>25</v>
      </c>
      <c r="B35" s="2">
        <v>37.46153846153846</v>
      </c>
      <c r="E35" s="4" t="s">
        <v>4</v>
      </c>
      <c r="F35" s="5">
        <v>469</v>
      </c>
    </row>
    <row r="36" spans="1:6" x14ac:dyDescent="0.3">
      <c r="A36" s="4" t="s">
        <v>26</v>
      </c>
      <c r="B36" s="2">
        <v>39.25</v>
      </c>
    </row>
    <row r="37" spans="1:6" x14ac:dyDescent="0.3">
      <c r="A37" s="4" t="s">
        <v>27</v>
      </c>
      <c r="B37" s="2">
        <v>33.647058823529413</v>
      </c>
    </row>
    <row r="38" spans="1:6" x14ac:dyDescent="0.3">
      <c r="A38" s="4" t="s">
        <v>28</v>
      </c>
      <c r="B38" s="2">
        <v>42.2</v>
      </c>
    </row>
    <row r="39" spans="1:6" x14ac:dyDescent="0.3">
      <c r="A39" s="4" t="s">
        <v>29</v>
      </c>
      <c r="B39" s="2">
        <v>33.3125</v>
      </c>
    </row>
    <row r="40" spans="1:6" x14ac:dyDescent="0.3">
      <c r="A40" s="4" t="s">
        <v>30</v>
      </c>
      <c r="B40" s="2">
        <v>25.76923076923077</v>
      </c>
    </row>
    <row r="41" spans="1:6" x14ac:dyDescent="0.3">
      <c r="A41" s="4" t="s">
        <v>31</v>
      </c>
      <c r="B41" s="2">
        <v>37.125</v>
      </c>
    </row>
    <row r="42" spans="1:6" x14ac:dyDescent="0.3">
      <c r="A42" s="4" t="s">
        <v>32</v>
      </c>
      <c r="B42" s="2">
        <v>37</v>
      </c>
    </row>
    <row r="43" spans="1:6" x14ac:dyDescent="0.3">
      <c r="A43" s="4" t="s">
        <v>33</v>
      </c>
      <c r="B43" s="2">
        <v>36.80952380952381</v>
      </c>
      <c r="D43" s="1" t="s">
        <v>5</v>
      </c>
      <c r="E43" t="s">
        <v>9</v>
      </c>
      <c r="F43" t="s">
        <v>10</v>
      </c>
    </row>
    <row r="44" spans="1:6" x14ac:dyDescent="0.3">
      <c r="A44" s="4" t="s">
        <v>34</v>
      </c>
      <c r="B44" s="2">
        <v>39.799999999999997</v>
      </c>
      <c r="D44" s="4" t="s">
        <v>7</v>
      </c>
      <c r="E44" s="2">
        <v>217</v>
      </c>
      <c r="F44" s="6">
        <v>0.46268656716417911</v>
      </c>
    </row>
    <row r="45" spans="1:6" x14ac:dyDescent="0.3">
      <c r="A45" s="4" t="s">
        <v>35</v>
      </c>
      <c r="B45" s="2">
        <v>38</v>
      </c>
      <c r="D45" s="4" t="s">
        <v>8</v>
      </c>
      <c r="E45" s="2">
        <v>252</v>
      </c>
      <c r="F45" s="6">
        <v>0.53731343283582089</v>
      </c>
    </row>
    <row r="46" spans="1:6" x14ac:dyDescent="0.3">
      <c r="A46" s="4" t="s">
        <v>36</v>
      </c>
      <c r="B46" s="2">
        <v>36.133333333333333</v>
      </c>
      <c r="D46" s="4" t="s">
        <v>4</v>
      </c>
      <c r="E46" s="2">
        <v>469</v>
      </c>
      <c r="F46" s="6">
        <v>1</v>
      </c>
    </row>
    <row r="47" spans="1:6" x14ac:dyDescent="0.3">
      <c r="A47" s="4" t="s">
        <v>37</v>
      </c>
      <c r="B47" s="2">
        <v>36.555555555555557</v>
      </c>
    </row>
    <row r="48" spans="1:6" x14ac:dyDescent="0.3">
      <c r="A48" s="4" t="s">
        <v>38</v>
      </c>
      <c r="B48" s="2">
        <v>39.210526315789473</v>
      </c>
    </row>
    <row r="49" spans="1:2" x14ac:dyDescent="0.3">
      <c r="A49" s="4" t="s">
        <v>39</v>
      </c>
      <c r="B49" s="2">
        <v>31.1875</v>
      </c>
    </row>
    <row r="50" spans="1:2" x14ac:dyDescent="0.3">
      <c r="A50" s="4" t="s">
        <v>40</v>
      </c>
      <c r="B50" s="2">
        <v>35.153846153846153</v>
      </c>
    </row>
    <row r="51" spans="1:2" x14ac:dyDescent="0.3">
      <c r="A51" s="4" t="s">
        <v>41</v>
      </c>
      <c r="B51" s="2">
        <v>34.25</v>
      </c>
    </row>
    <row r="52" spans="1:2" x14ac:dyDescent="0.3">
      <c r="A52" s="4" t="s">
        <v>4</v>
      </c>
      <c r="B52" s="2">
        <v>35.044776119402982</v>
      </c>
    </row>
    <row r="65" spans="1:7" x14ac:dyDescent="0.3">
      <c r="D65" s="7" t="s">
        <v>11</v>
      </c>
      <c r="E65" s="7" t="s">
        <v>11</v>
      </c>
      <c r="F65" s="7" t="s">
        <v>11</v>
      </c>
      <c r="G65" s="7"/>
    </row>
    <row r="66" spans="1:7" x14ac:dyDescent="0.3">
      <c r="D66" s="8" t="str">
        <f>D45</f>
        <v>Not Admitted</v>
      </c>
      <c r="E66" s="8">
        <f>E45</f>
        <v>252</v>
      </c>
      <c r="F66" s="9">
        <f>F45</f>
        <v>0.53731343283582089</v>
      </c>
      <c r="G66" s="8"/>
    </row>
    <row r="67" spans="1:7" x14ac:dyDescent="0.3">
      <c r="D67" s="8" t="str">
        <f>D44</f>
        <v>Admitted</v>
      </c>
      <c r="E67" s="8">
        <f>E44</f>
        <v>217</v>
      </c>
      <c r="F67" s="9">
        <f>F44</f>
        <v>0.46268656716417911</v>
      </c>
      <c r="G67" s="8"/>
    </row>
    <row r="72" spans="1:7" x14ac:dyDescent="0.3">
      <c r="A72" t="s">
        <v>51</v>
      </c>
    </row>
    <row r="73" spans="1:7" x14ac:dyDescent="0.3">
      <c r="A73" s="1" t="s">
        <v>5</v>
      </c>
      <c r="B73" t="s">
        <v>50</v>
      </c>
    </row>
    <row r="74" spans="1:7" x14ac:dyDescent="0.3">
      <c r="A74" s="4" t="s">
        <v>42</v>
      </c>
      <c r="B74" s="10">
        <v>59</v>
      </c>
    </row>
    <row r="75" spans="1:7" x14ac:dyDescent="0.3">
      <c r="A75" s="4" t="s">
        <v>43</v>
      </c>
      <c r="B75" s="10">
        <v>57</v>
      </c>
    </row>
    <row r="76" spans="1:7" x14ac:dyDescent="0.3">
      <c r="A76" s="4" t="s">
        <v>44</v>
      </c>
      <c r="B76" s="10">
        <v>69</v>
      </c>
    </row>
    <row r="77" spans="1:7" x14ac:dyDescent="0.3">
      <c r="A77" s="4" t="s">
        <v>45</v>
      </c>
      <c r="B77" s="10">
        <v>62</v>
      </c>
    </row>
    <row r="78" spans="1:7" x14ac:dyDescent="0.3">
      <c r="A78" s="4" t="s">
        <v>46</v>
      </c>
      <c r="B78" s="10">
        <v>54</v>
      </c>
    </row>
    <row r="79" spans="1:7" x14ac:dyDescent="0.3">
      <c r="A79" s="4" t="s">
        <v>47</v>
      </c>
      <c r="B79" s="10">
        <v>57</v>
      </c>
    </row>
    <row r="80" spans="1:7" x14ac:dyDescent="0.3">
      <c r="A80" s="4" t="s">
        <v>48</v>
      </c>
      <c r="B80" s="10">
        <v>54</v>
      </c>
    </row>
    <row r="81" spans="1:2" x14ac:dyDescent="0.3">
      <c r="A81" s="4" t="s">
        <v>49</v>
      </c>
      <c r="B81" s="10">
        <v>57</v>
      </c>
    </row>
    <row r="82" spans="1:2" x14ac:dyDescent="0.3">
      <c r="A82" s="4" t="s">
        <v>4</v>
      </c>
      <c r="B82" s="10">
        <v>469</v>
      </c>
    </row>
    <row r="86" spans="1:2" x14ac:dyDescent="0.3">
      <c r="A86" t="s">
        <v>51</v>
      </c>
    </row>
    <row r="87" spans="1:2" x14ac:dyDescent="0.3">
      <c r="A87" s="1" t="s">
        <v>5</v>
      </c>
      <c r="B87" t="s">
        <v>54</v>
      </c>
    </row>
    <row r="88" spans="1:2" x14ac:dyDescent="0.3">
      <c r="A88" s="4" t="s">
        <v>52</v>
      </c>
      <c r="B88" s="10">
        <v>268</v>
      </c>
    </row>
    <row r="89" spans="1:2" x14ac:dyDescent="0.3">
      <c r="A89" s="4" t="s">
        <v>53</v>
      </c>
      <c r="B89" s="10">
        <v>201</v>
      </c>
    </row>
    <row r="90" spans="1:2" x14ac:dyDescent="0.3">
      <c r="A90" s="4" t="s">
        <v>4</v>
      </c>
      <c r="B90" s="10">
        <v>469</v>
      </c>
    </row>
    <row r="94" spans="1:2" x14ac:dyDescent="0.3">
      <c r="A94" t="s">
        <v>55</v>
      </c>
    </row>
    <row r="95" spans="1:2" x14ac:dyDescent="0.3">
      <c r="A95" s="1" t="s">
        <v>5</v>
      </c>
      <c r="B95" t="s">
        <v>58</v>
      </c>
    </row>
    <row r="96" spans="1:2" x14ac:dyDescent="0.3">
      <c r="A96" s="4" t="s">
        <v>56</v>
      </c>
      <c r="B96" s="10">
        <v>241</v>
      </c>
    </row>
    <row r="97" spans="1:2" x14ac:dyDescent="0.3">
      <c r="A97" s="4" t="s">
        <v>57</v>
      </c>
      <c r="B97" s="10">
        <v>228</v>
      </c>
    </row>
    <row r="98" spans="1:2" x14ac:dyDescent="0.3">
      <c r="A98" s="4" t="s">
        <v>4</v>
      </c>
      <c r="B98" s="10">
        <v>469</v>
      </c>
    </row>
    <row r="102" spans="1:2" x14ac:dyDescent="0.3">
      <c r="A102" t="s">
        <v>59</v>
      </c>
    </row>
    <row r="103" spans="1:2" x14ac:dyDescent="0.3">
      <c r="A103" s="1" t="s">
        <v>5</v>
      </c>
      <c r="B103" t="s">
        <v>68</v>
      </c>
    </row>
    <row r="104" spans="1:2" x14ac:dyDescent="0.3">
      <c r="A104" s="4" t="s">
        <v>67</v>
      </c>
      <c r="B104" s="10">
        <v>3</v>
      </c>
    </row>
    <row r="105" spans="1:2" x14ac:dyDescent="0.3">
      <c r="A105" s="4" t="s">
        <v>61</v>
      </c>
      <c r="B105" s="10">
        <v>8</v>
      </c>
    </row>
    <row r="106" spans="1:2" x14ac:dyDescent="0.3">
      <c r="A106" s="4" t="s">
        <v>63</v>
      </c>
      <c r="B106" s="10">
        <v>10</v>
      </c>
    </row>
    <row r="107" spans="1:2" x14ac:dyDescent="0.3">
      <c r="A107" s="4" t="s">
        <v>60</v>
      </c>
      <c r="B107" s="10">
        <v>13</v>
      </c>
    </row>
    <row r="108" spans="1:2" x14ac:dyDescent="0.3">
      <c r="A108" s="4" t="s">
        <v>66</v>
      </c>
      <c r="B108" s="10">
        <v>15</v>
      </c>
    </row>
    <row r="109" spans="1:2" x14ac:dyDescent="0.3">
      <c r="A109" s="4" t="s">
        <v>65</v>
      </c>
      <c r="B109" s="10">
        <v>44</v>
      </c>
    </row>
    <row r="110" spans="1:2" x14ac:dyDescent="0.3">
      <c r="A110" s="4" t="s">
        <v>62</v>
      </c>
      <c r="B110" s="10">
        <v>92</v>
      </c>
    </row>
    <row r="111" spans="1:2" x14ac:dyDescent="0.3">
      <c r="A111" s="4" t="s">
        <v>64</v>
      </c>
      <c r="B111" s="10">
        <v>284</v>
      </c>
    </row>
    <row r="112" spans="1:2" x14ac:dyDescent="0.3">
      <c r="A112" s="4" t="s">
        <v>4</v>
      </c>
      <c r="B112" s="10">
        <v>469</v>
      </c>
    </row>
    <row r="116" spans="1:1" x14ac:dyDescent="0.3">
      <c r="A116" t="s">
        <v>59</v>
      </c>
    </row>
    <row r="117" spans="1:1" x14ac:dyDescent="0.3">
      <c r="A117" s="1" t="s">
        <v>5</v>
      </c>
    </row>
    <row r="118" spans="1:1" x14ac:dyDescent="0.3">
      <c r="A118" s="4" t="s">
        <v>69</v>
      </c>
    </row>
    <row r="119" spans="1:1" x14ac:dyDescent="0.3">
      <c r="A119" s="4" t="s">
        <v>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F4FA-57D0-4D8E-853F-ABEAD80C4F94}">
  <dimension ref="A1:Q27"/>
  <sheetViews>
    <sheetView showGridLines="0" tabSelected="1" zoomScale="113" workbookViewId="0">
      <selection activeCell="M33" sqref="M33"/>
    </sheetView>
  </sheetViews>
  <sheetFormatPr defaultRowHeight="14.4" x14ac:dyDescent="0.3"/>
  <sheetData>
    <row r="1" spans="1:17" x14ac:dyDescent="0.3">
      <c r="A1" s="3"/>
      <c r="B1" s="3"/>
      <c r="C1" s="3"/>
      <c r="D1" s="3"/>
      <c r="E1" s="3"/>
      <c r="F1" s="3"/>
      <c r="G1" s="3"/>
      <c r="H1" s="3"/>
      <c r="I1" s="3"/>
      <c r="J1" s="3"/>
      <c r="K1" s="3"/>
      <c r="L1" s="3"/>
      <c r="M1" s="3"/>
      <c r="N1" s="3"/>
      <c r="O1" s="3"/>
      <c r="P1" s="3"/>
      <c r="Q1" s="3"/>
    </row>
    <row r="2" spans="1:17" x14ac:dyDescent="0.3">
      <c r="A2" s="3"/>
      <c r="B2" s="3"/>
      <c r="C2" s="3"/>
      <c r="D2" s="3"/>
      <c r="E2" s="3"/>
      <c r="F2" s="3"/>
      <c r="G2" s="3"/>
      <c r="H2" s="3"/>
      <c r="I2" s="3"/>
      <c r="J2" s="3"/>
      <c r="K2" s="3"/>
      <c r="L2" s="3"/>
      <c r="M2" s="3"/>
      <c r="N2" s="3"/>
      <c r="O2" s="3"/>
      <c r="P2" s="3"/>
      <c r="Q2" s="3"/>
    </row>
    <row r="3" spans="1:17" x14ac:dyDescent="0.3">
      <c r="A3" s="3"/>
      <c r="B3" s="3"/>
      <c r="C3" s="3"/>
      <c r="D3" s="3"/>
      <c r="E3" s="3"/>
      <c r="F3" s="3"/>
      <c r="G3" s="3"/>
      <c r="H3" s="3"/>
      <c r="I3" s="3"/>
      <c r="J3" s="3"/>
      <c r="K3" s="3"/>
      <c r="L3" s="3"/>
      <c r="M3" s="3"/>
      <c r="N3" s="3"/>
      <c r="O3" s="3"/>
      <c r="P3" s="3"/>
      <c r="Q3" s="3"/>
    </row>
    <row r="4" spans="1:17" x14ac:dyDescent="0.3">
      <c r="A4" s="3"/>
      <c r="B4" s="3"/>
      <c r="C4" s="3"/>
      <c r="D4" s="3"/>
      <c r="E4" s="3"/>
      <c r="F4" s="3"/>
      <c r="G4" s="3"/>
      <c r="H4" s="3"/>
      <c r="I4" s="3"/>
      <c r="J4" s="3"/>
      <c r="K4" s="3"/>
      <c r="L4" s="3"/>
      <c r="M4" s="3"/>
      <c r="N4" s="3"/>
      <c r="O4" s="3"/>
      <c r="P4" s="3"/>
      <c r="Q4" s="3"/>
    </row>
    <row r="5" spans="1:17" x14ac:dyDescent="0.3">
      <c r="A5" s="3"/>
      <c r="B5" s="3"/>
      <c r="C5" s="3"/>
      <c r="D5" s="3"/>
      <c r="E5" s="3"/>
      <c r="F5" s="3"/>
      <c r="G5" s="3"/>
      <c r="H5" s="3"/>
      <c r="I5" s="3"/>
      <c r="J5" s="3"/>
      <c r="K5" s="3"/>
      <c r="L5" s="3"/>
      <c r="M5" s="3"/>
      <c r="N5" s="3"/>
      <c r="O5" s="3"/>
      <c r="P5" s="3"/>
      <c r="Q5" s="3"/>
    </row>
    <row r="6" spans="1:17" x14ac:dyDescent="0.3">
      <c r="A6" s="3"/>
      <c r="B6" s="3"/>
      <c r="C6" s="3"/>
      <c r="D6" s="3"/>
      <c r="E6" s="3"/>
      <c r="F6" s="3"/>
      <c r="G6" s="3"/>
      <c r="H6" s="3"/>
      <c r="I6" s="3"/>
      <c r="J6" s="3"/>
      <c r="K6" s="3"/>
      <c r="L6" s="3"/>
      <c r="M6" s="3"/>
      <c r="N6" s="3"/>
      <c r="O6" s="3"/>
      <c r="P6" s="3"/>
      <c r="Q6" s="3"/>
    </row>
    <row r="7" spans="1:17" x14ac:dyDescent="0.3">
      <c r="A7" s="3"/>
      <c r="B7" s="3"/>
      <c r="C7" s="3"/>
      <c r="D7" s="3"/>
      <c r="E7" s="3"/>
      <c r="F7" s="3"/>
      <c r="G7" s="3"/>
      <c r="H7" s="3"/>
      <c r="I7" s="3"/>
      <c r="J7" s="3"/>
      <c r="K7" s="3"/>
      <c r="L7" s="3"/>
      <c r="M7" s="3"/>
      <c r="N7" s="3"/>
      <c r="O7" s="3"/>
      <c r="P7" s="3"/>
      <c r="Q7" s="3"/>
    </row>
    <row r="8" spans="1:17" x14ac:dyDescent="0.3">
      <c r="A8" s="3"/>
      <c r="B8" s="3"/>
      <c r="C8" s="3"/>
      <c r="D8" s="3"/>
      <c r="E8" s="3"/>
      <c r="F8" s="3"/>
      <c r="G8" s="3"/>
      <c r="H8" s="3"/>
      <c r="I8" s="3"/>
      <c r="J8" s="3"/>
      <c r="K8" s="3"/>
      <c r="L8" s="3"/>
      <c r="M8" s="3"/>
      <c r="N8" s="3"/>
      <c r="O8" s="3"/>
      <c r="P8" s="3"/>
      <c r="Q8" s="3"/>
    </row>
    <row r="9" spans="1:17" x14ac:dyDescent="0.3">
      <c r="A9" s="3"/>
      <c r="B9" s="3"/>
      <c r="C9" s="3"/>
      <c r="D9" s="3"/>
      <c r="E9" s="3"/>
      <c r="F9" s="3"/>
      <c r="G9" s="3"/>
      <c r="H9" s="3"/>
      <c r="I9" s="3"/>
      <c r="J9" s="3"/>
      <c r="K9" s="3"/>
      <c r="L9" s="3"/>
      <c r="M9" s="3"/>
      <c r="N9" s="3"/>
      <c r="O9" s="3"/>
      <c r="P9" s="3"/>
      <c r="Q9" s="3"/>
    </row>
    <row r="10" spans="1:17" x14ac:dyDescent="0.3">
      <c r="A10" s="3"/>
      <c r="B10" s="3"/>
      <c r="C10" s="3"/>
      <c r="D10" s="3"/>
      <c r="E10" s="3"/>
      <c r="F10" s="3"/>
      <c r="G10" s="3"/>
      <c r="H10" s="3"/>
      <c r="I10" s="3"/>
      <c r="J10" s="3"/>
      <c r="K10" s="3"/>
      <c r="L10" s="3"/>
      <c r="M10" s="3"/>
      <c r="N10" s="3"/>
      <c r="O10" s="3"/>
      <c r="P10" s="3"/>
      <c r="Q10" s="3"/>
    </row>
    <row r="11" spans="1:17" x14ac:dyDescent="0.3">
      <c r="A11" s="3"/>
      <c r="B11" s="3"/>
      <c r="C11" s="3"/>
      <c r="D11" s="3"/>
      <c r="E11" s="3"/>
      <c r="F11" s="3"/>
      <c r="G11" s="3"/>
      <c r="H11" s="3"/>
      <c r="I11" s="3"/>
      <c r="J11" s="3"/>
      <c r="K11" s="3"/>
      <c r="L11" s="3"/>
      <c r="M11" s="3"/>
      <c r="N11" s="3"/>
      <c r="O11" s="3"/>
      <c r="P11" s="3"/>
      <c r="Q11" s="3"/>
    </row>
    <row r="12" spans="1:17" x14ac:dyDescent="0.3">
      <c r="A12" s="3"/>
      <c r="B12" s="3"/>
      <c r="C12" s="3"/>
      <c r="D12" s="3"/>
      <c r="E12" s="3"/>
      <c r="F12" s="3"/>
      <c r="G12" s="3"/>
      <c r="H12" s="3"/>
      <c r="I12" s="3"/>
      <c r="J12" s="3"/>
      <c r="K12" s="3"/>
      <c r="L12" s="3"/>
      <c r="M12" s="3"/>
      <c r="N12" s="3"/>
      <c r="O12" s="3"/>
      <c r="P12" s="3"/>
      <c r="Q12" s="3"/>
    </row>
    <row r="13" spans="1:17" x14ac:dyDescent="0.3">
      <c r="A13" s="3"/>
      <c r="B13" s="3"/>
      <c r="C13" s="3"/>
      <c r="D13" s="3"/>
      <c r="E13" s="3"/>
      <c r="F13" s="3"/>
      <c r="G13" s="3"/>
      <c r="H13" s="3"/>
      <c r="I13" s="3"/>
      <c r="J13" s="3"/>
      <c r="K13" s="3"/>
      <c r="L13" s="3"/>
      <c r="M13" s="3"/>
      <c r="N13" s="3"/>
      <c r="O13" s="3"/>
      <c r="P13" s="3"/>
      <c r="Q13" s="3"/>
    </row>
    <row r="14" spans="1:17" x14ac:dyDescent="0.3">
      <c r="A14" s="3"/>
      <c r="B14" s="3"/>
      <c r="C14" s="3"/>
      <c r="D14" s="3"/>
      <c r="E14" s="3"/>
      <c r="F14" s="3"/>
      <c r="G14" s="3"/>
      <c r="H14" s="3"/>
      <c r="I14" s="3"/>
      <c r="J14" s="3"/>
      <c r="K14" s="3"/>
      <c r="L14" s="3"/>
      <c r="M14" s="3"/>
      <c r="N14" s="3"/>
      <c r="O14" s="3"/>
      <c r="P14" s="3"/>
      <c r="Q14" s="3"/>
    </row>
    <row r="15" spans="1:17" x14ac:dyDescent="0.3">
      <c r="A15" s="3"/>
      <c r="B15" s="3"/>
      <c r="C15" s="3"/>
      <c r="D15" s="3"/>
      <c r="E15" s="3"/>
      <c r="F15" s="3"/>
      <c r="G15" s="3"/>
      <c r="H15" s="3"/>
      <c r="I15" s="3"/>
      <c r="J15" s="3"/>
      <c r="K15" s="3"/>
      <c r="L15" s="3"/>
      <c r="M15" s="3"/>
      <c r="N15" s="3"/>
      <c r="O15" s="3"/>
      <c r="P15" s="3"/>
      <c r="Q15" s="3"/>
    </row>
    <row r="16" spans="1:17" x14ac:dyDescent="0.3">
      <c r="A16" s="3"/>
      <c r="B16" s="3"/>
      <c r="C16" s="3"/>
      <c r="D16" s="3"/>
      <c r="E16" s="3"/>
      <c r="F16" s="3"/>
      <c r="G16" s="3"/>
      <c r="H16" s="3"/>
      <c r="I16" s="3"/>
      <c r="J16" s="3"/>
      <c r="K16" s="3"/>
      <c r="L16" s="3"/>
      <c r="M16" s="3"/>
      <c r="N16" s="3"/>
      <c r="O16" s="3"/>
      <c r="P16" s="3"/>
      <c r="Q16" s="3"/>
    </row>
    <row r="17" spans="1:17" x14ac:dyDescent="0.3">
      <c r="A17" s="3"/>
      <c r="B17" s="3"/>
      <c r="C17" s="3"/>
      <c r="D17" s="3"/>
      <c r="E17" s="3"/>
      <c r="F17" s="3"/>
      <c r="G17" s="3"/>
      <c r="H17" s="3"/>
      <c r="I17" s="3"/>
      <c r="J17" s="3"/>
      <c r="K17" s="3"/>
      <c r="L17" s="3"/>
      <c r="M17" s="3"/>
      <c r="N17" s="3"/>
      <c r="O17" s="3"/>
      <c r="P17" s="3"/>
      <c r="Q17" s="3"/>
    </row>
    <row r="18" spans="1:17" x14ac:dyDescent="0.3">
      <c r="A18" s="3"/>
      <c r="B18" s="3"/>
      <c r="C18" s="3"/>
      <c r="D18" s="3"/>
      <c r="E18" s="3"/>
      <c r="F18" s="3"/>
      <c r="G18" s="3"/>
      <c r="H18" s="3"/>
      <c r="I18" s="3"/>
      <c r="J18" s="3"/>
      <c r="K18" s="3"/>
      <c r="L18" s="3"/>
      <c r="M18" s="3"/>
      <c r="N18" s="3"/>
      <c r="O18" s="3"/>
      <c r="P18" s="3"/>
      <c r="Q18" s="3"/>
    </row>
    <row r="19" spans="1:17" x14ac:dyDescent="0.3">
      <c r="A19" s="3"/>
      <c r="B19" s="3"/>
      <c r="C19" s="3"/>
      <c r="D19" s="3"/>
      <c r="E19" s="3"/>
      <c r="F19" s="3"/>
      <c r="G19" s="3"/>
      <c r="H19" s="3"/>
      <c r="I19" s="3"/>
      <c r="J19" s="3"/>
      <c r="K19" s="3"/>
      <c r="L19" s="3"/>
      <c r="M19" s="3"/>
      <c r="N19" s="3"/>
      <c r="O19" s="3"/>
      <c r="P19" s="3"/>
      <c r="Q19" s="3"/>
    </row>
    <row r="20" spans="1:17" x14ac:dyDescent="0.3">
      <c r="A20" s="3"/>
      <c r="B20" s="3"/>
      <c r="C20" s="3"/>
      <c r="D20" s="3"/>
      <c r="E20" s="3"/>
      <c r="F20" s="3"/>
      <c r="G20" s="3"/>
      <c r="H20" s="3"/>
      <c r="I20" s="3"/>
      <c r="J20" s="3"/>
      <c r="K20" s="3"/>
      <c r="L20" s="3"/>
      <c r="M20" s="3"/>
      <c r="N20" s="3"/>
      <c r="O20" s="3"/>
      <c r="P20" s="3"/>
      <c r="Q20" s="3"/>
    </row>
    <row r="21" spans="1:17" x14ac:dyDescent="0.3">
      <c r="A21" s="3"/>
      <c r="B21" s="3"/>
      <c r="C21" s="3"/>
      <c r="D21" s="3"/>
      <c r="E21" s="3"/>
      <c r="F21" s="3"/>
      <c r="G21" s="3"/>
      <c r="H21" s="3"/>
      <c r="I21" s="3"/>
      <c r="J21" s="3"/>
      <c r="K21" s="3"/>
      <c r="L21" s="3"/>
      <c r="M21" s="3"/>
      <c r="N21" s="3"/>
      <c r="O21" s="3"/>
      <c r="P21" s="3"/>
      <c r="Q21" s="3"/>
    </row>
    <row r="22" spans="1:17" x14ac:dyDescent="0.3">
      <c r="A22" s="3"/>
      <c r="B22" s="3"/>
      <c r="C22" s="3"/>
      <c r="D22" s="3"/>
      <c r="E22" s="3"/>
      <c r="F22" s="3"/>
      <c r="G22" s="3"/>
      <c r="H22" s="3"/>
      <c r="I22" s="3"/>
      <c r="J22" s="3"/>
      <c r="K22" s="3"/>
      <c r="L22" s="3"/>
      <c r="M22" s="3"/>
      <c r="N22" s="3"/>
      <c r="O22" s="3"/>
      <c r="P22" s="3"/>
      <c r="Q22" s="3"/>
    </row>
    <row r="23" spans="1:17" x14ac:dyDescent="0.3">
      <c r="A23" s="3"/>
      <c r="B23" s="3"/>
      <c r="C23" s="3"/>
      <c r="D23" s="3"/>
      <c r="E23" s="3"/>
      <c r="F23" s="3"/>
      <c r="G23" s="3"/>
      <c r="H23" s="3"/>
      <c r="I23" s="3"/>
      <c r="J23" s="3"/>
      <c r="K23" s="3"/>
      <c r="L23" s="3"/>
      <c r="M23" s="3"/>
      <c r="N23" s="3"/>
      <c r="O23" s="3"/>
      <c r="P23" s="3"/>
      <c r="Q23" s="3"/>
    </row>
    <row r="24" spans="1:17" x14ac:dyDescent="0.3">
      <c r="A24" s="3"/>
      <c r="B24" s="3"/>
      <c r="C24" s="3"/>
      <c r="D24" s="3"/>
      <c r="E24" s="3"/>
      <c r="F24" s="3"/>
      <c r="G24" s="3"/>
      <c r="H24" s="3"/>
      <c r="I24" s="3"/>
      <c r="J24" s="3"/>
      <c r="K24" s="3"/>
      <c r="L24" s="3"/>
      <c r="M24" s="3"/>
      <c r="N24" s="3"/>
      <c r="O24" s="3"/>
      <c r="P24" s="3"/>
      <c r="Q24" s="3"/>
    </row>
    <row r="25" spans="1:17" x14ac:dyDescent="0.3">
      <c r="A25" s="3"/>
      <c r="B25" s="3"/>
      <c r="C25" s="3"/>
      <c r="D25" s="3"/>
      <c r="E25" s="3"/>
      <c r="F25" s="3"/>
      <c r="G25" s="3"/>
      <c r="H25" s="3"/>
      <c r="I25" s="3"/>
      <c r="J25" s="3"/>
      <c r="K25" s="3"/>
      <c r="L25" s="3"/>
      <c r="M25" s="3"/>
      <c r="N25" s="3"/>
      <c r="O25" s="3"/>
      <c r="P25" s="3"/>
      <c r="Q25" s="3"/>
    </row>
    <row r="26" spans="1:17" x14ac:dyDescent="0.3">
      <c r="A26" s="3"/>
      <c r="B26" s="3"/>
      <c r="C26" s="3"/>
      <c r="D26" s="3"/>
      <c r="E26" s="3"/>
      <c r="F26" s="3"/>
      <c r="G26" s="3"/>
      <c r="H26" s="3"/>
      <c r="I26" s="3"/>
      <c r="J26" s="3"/>
      <c r="K26" s="3"/>
      <c r="L26" s="3"/>
      <c r="M26" s="3"/>
      <c r="N26" s="3"/>
      <c r="O26" s="3"/>
      <c r="P26" s="3"/>
      <c r="Q26" s="3"/>
    </row>
    <row r="27" spans="1:17" x14ac:dyDescent="0.3">
      <c r="A27" s="3"/>
      <c r="B27" s="3"/>
      <c r="C27" s="3"/>
      <c r="D27" s="3"/>
      <c r="E27" s="3"/>
      <c r="F27" s="3"/>
      <c r="G27" s="3"/>
      <c r="H27" s="3"/>
      <c r="I27" s="3"/>
      <c r="J27" s="3"/>
      <c r="K27" s="3"/>
      <c r="L27" s="3"/>
      <c r="M27" s="3"/>
      <c r="N27" s="3"/>
      <c r="O27" s="3"/>
      <c r="P27" s="3"/>
      <c r="Q27"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B640DD0-4FBA-4E31-8D02-E190D2F4A850}">
  <ds:schemaRefs/>
</ds:datastoreItem>
</file>

<file path=customXml/itemProps2.xml><?xml version="1.0" encoding="utf-8"?>
<ds:datastoreItem xmlns:ds="http://schemas.openxmlformats.org/officeDocument/2006/customXml" ds:itemID="{0E2FCBA7-7375-499E-9670-8157108AAE74}">
  <ds:schemaRefs/>
</ds:datastoreItem>
</file>

<file path=customXml/itemProps3.xml><?xml version="1.0" encoding="utf-8"?>
<ds:datastoreItem xmlns:ds="http://schemas.openxmlformats.org/officeDocument/2006/customXml" ds:itemID="{B8E6199D-391C-45DF-BF72-FCFA1E42F3E3}">
  <ds:schemaRefs/>
</ds:datastoreItem>
</file>

<file path=customXml/itemProps4.xml><?xml version="1.0" encoding="utf-8"?>
<ds:datastoreItem xmlns:ds="http://schemas.openxmlformats.org/officeDocument/2006/customXml" ds:itemID="{E1869DB8-A228-438E-8347-DFD6FC9E6333}">
  <ds:schemaRefs/>
</ds:datastoreItem>
</file>

<file path=customXml/itemProps5.xml><?xml version="1.0" encoding="utf-8"?>
<ds:datastoreItem xmlns:ds="http://schemas.openxmlformats.org/officeDocument/2006/customXml" ds:itemID="{B00CD213-45D6-430B-AD22-00A2B2857B36}">
  <ds:schemaRefs/>
</ds:datastoreItem>
</file>

<file path=customXml/itemProps6.xml><?xml version="1.0" encoding="utf-8"?>
<ds:datastoreItem xmlns:ds="http://schemas.openxmlformats.org/officeDocument/2006/customXml" ds:itemID="{4C71D239-06B7-4837-86CB-0DCC89DAC4F3}">
  <ds:schemaRefs/>
</ds:datastoreItem>
</file>

<file path=customXml/itemProps7.xml><?xml version="1.0" encoding="utf-8"?>
<ds:datastoreItem xmlns:ds="http://schemas.openxmlformats.org/officeDocument/2006/customXml" ds:itemID="{C01342B0-A82D-4838-BFAB-7024EEF0EB5D}">
  <ds:schemaRefs/>
</ds:datastoreItem>
</file>

<file path=customXml/itemProps8.xml><?xml version="1.0" encoding="utf-8"?>
<ds:datastoreItem xmlns:ds="http://schemas.openxmlformats.org/officeDocument/2006/customXml" ds:itemID="{83150E74-DB03-4460-9C95-CBAA523ECDFD}">
  <ds:schemaRefs/>
</ds:datastoreItem>
</file>

<file path=customXml/itemProps9.xml><?xml version="1.0" encoding="utf-8"?>
<ds:datastoreItem xmlns:ds="http://schemas.openxmlformats.org/officeDocument/2006/customXml" ds:itemID="{CC1D0520-97F4-49F2-A8A0-E6B3D73059C3}">
  <ds:schemaRefs/>
</ds:datastoreItem>
</file>

<file path=customXml/itemProps10.xml><?xml version="1.0" encoding="utf-8"?>
<ds:datastoreItem xmlns:ds="http://schemas.openxmlformats.org/officeDocument/2006/customXml" ds:itemID="{4EB22046-603F-4901-8F7E-597DDD112E64}">
  <ds:schemaRefs/>
</ds:datastoreItem>
</file>

<file path=customXml/itemProps11.xml><?xml version="1.0" encoding="utf-8"?>
<ds:datastoreItem xmlns:ds="http://schemas.openxmlformats.org/officeDocument/2006/customXml" ds:itemID="{9E6EB15F-14D4-4661-9790-DC9F1AB515B9}">
  <ds:schemaRefs/>
</ds:datastoreItem>
</file>

<file path=customXml/itemProps12.xml><?xml version="1.0" encoding="utf-8"?>
<ds:datastoreItem xmlns:ds="http://schemas.openxmlformats.org/officeDocument/2006/customXml" ds:itemID="{3FD05ACA-A1A3-4FF2-A585-1AD3747D0E5D}">
  <ds:schemaRefs/>
</ds:datastoreItem>
</file>

<file path=customXml/itemProps13.xml><?xml version="1.0" encoding="utf-8"?>
<ds:datastoreItem xmlns:ds="http://schemas.openxmlformats.org/officeDocument/2006/customXml" ds:itemID="{088FF557-DC35-4711-869D-72B472876999}">
  <ds:schemaRefs/>
</ds:datastoreItem>
</file>

<file path=customXml/itemProps14.xml><?xml version="1.0" encoding="utf-8"?>
<ds:datastoreItem xmlns:ds="http://schemas.openxmlformats.org/officeDocument/2006/customXml" ds:itemID="{F1E4092C-6DF5-4322-9FF3-B58683FB986E}">
  <ds:schemaRefs/>
</ds:datastoreItem>
</file>

<file path=customXml/itemProps15.xml><?xml version="1.0" encoding="utf-8"?>
<ds:datastoreItem xmlns:ds="http://schemas.openxmlformats.org/officeDocument/2006/customXml" ds:itemID="{77ED2A7B-CAC0-4BFA-94B5-22529DDFBA60}">
  <ds:schemaRefs/>
</ds:datastoreItem>
</file>

<file path=customXml/itemProps16.xml><?xml version="1.0" encoding="utf-8"?>
<ds:datastoreItem xmlns:ds="http://schemas.openxmlformats.org/officeDocument/2006/customXml" ds:itemID="{7F477033-61F1-4698-8474-BCA301A8FC2B}">
  <ds:schemaRefs/>
</ds:datastoreItem>
</file>

<file path=customXml/itemProps17.xml><?xml version="1.0" encoding="utf-8"?>
<ds:datastoreItem xmlns:ds="http://schemas.openxmlformats.org/officeDocument/2006/customXml" ds:itemID="{477AEF88-F437-41A1-9DC5-23D9E4A603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Tripathi</dc:creator>
  <cp:lastModifiedBy>Tarun Tripathi</cp:lastModifiedBy>
  <dcterms:created xsi:type="dcterms:W3CDTF">2026-09-16T18:21:42Z</dcterms:created>
  <dcterms:modified xsi:type="dcterms:W3CDTF">2026-09-17T10:51:31Z</dcterms:modified>
</cp:coreProperties>
</file>